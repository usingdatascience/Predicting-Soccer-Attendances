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502"/>
  <workbookPr/>
  <mc:AlternateContent xmlns:mc="http://schemas.openxmlformats.org/markup-compatibility/2006">
    <mc:Choice Requires="x15">
      <x15ac:absPath xmlns:x15ac="http://schemas.microsoft.com/office/spreadsheetml/2010/11/ac" url="/Users/chappers/Documents/Data Science/ML_Project/"/>
    </mc:Choice>
  </mc:AlternateContent>
  <bookViews>
    <workbookView xWindow="0" yWindow="460" windowWidth="25600" windowHeight="16160" tabRatio="500"/>
  </bookViews>
  <sheets>
    <sheet name="league1_2016_17.csv" sheetId="1" r:id="rId1"/>
  </sheets>
  <definedNames>
    <definedName name="_xlnm._FilterDatabase" localSheetId="0" hidden="1">league1_2016_17.csv!$A$1:$X$554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Y553" i="1" l="1"/>
  <c r="Y552" i="1"/>
  <c r="Y551" i="1"/>
  <c r="Y550" i="1"/>
  <c r="Y549" i="1"/>
  <c r="Y548" i="1"/>
  <c r="Y547" i="1"/>
  <c r="Y546" i="1"/>
  <c r="Y545" i="1"/>
  <c r="Y544" i="1"/>
  <c r="Y543" i="1"/>
  <c r="Y542" i="1"/>
  <c r="Y541" i="1"/>
  <c r="Y540" i="1"/>
  <c r="Y539" i="1"/>
  <c r="Y538" i="1"/>
  <c r="Y537" i="1"/>
  <c r="Y536" i="1"/>
  <c r="Y535" i="1"/>
  <c r="Y534" i="1"/>
  <c r="Y533" i="1"/>
  <c r="Y532" i="1"/>
  <c r="Y531" i="1"/>
  <c r="Y530" i="1"/>
  <c r="Y529" i="1"/>
  <c r="Y528" i="1"/>
  <c r="Y527" i="1"/>
  <c r="Y526" i="1"/>
  <c r="Y525" i="1"/>
  <c r="Y524" i="1"/>
  <c r="Y523" i="1"/>
  <c r="Y522" i="1"/>
  <c r="Y521" i="1"/>
  <c r="Y520" i="1"/>
  <c r="Y519" i="1"/>
  <c r="Y518" i="1"/>
  <c r="Y517" i="1"/>
  <c r="Y516" i="1"/>
  <c r="Y515" i="1"/>
  <c r="Y514" i="1"/>
  <c r="Y513" i="1"/>
  <c r="Y512" i="1"/>
  <c r="Y511" i="1"/>
  <c r="Y510" i="1"/>
  <c r="Y509" i="1"/>
  <c r="Y508" i="1"/>
  <c r="Y507" i="1"/>
  <c r="Y506" i="1"/>
  <c r="Y505" i="1"/>
  <c r="Y504" i="1"/>
  <c r="Y503" i="1"/>
  <c r="Y502" i="1"/>
  <c r="Y501" i="1"/>
  <c r="Y500" i="1"/>
  <c r="Y499" i="1"/>
  <c r="Y498" i="1"/>
  <c r="Y497" i="1"/>
  <c r="Y496" i="1"/>
  <c r="Y495" i="1"/>
  <c r="Y494" i="1"/>
  <c r="Y493" i="1"/>
  <c r="Y492" i="1"/>
  <c r="Y491" i="1"/>
  <c r="Y490" i="1"/>
  <c r="Y489" i="1"/>
  <c r="Y488" i="1"/>
  <c r="Y487" i="1"/>
  <c r="Y486" i="1"/>
  <c r="Y485" i="1"/>
  <c r="Y484" i="1"/>
  <c r="Y483" i="1"/>
  <c r="Y482" i="1"/>
  <c r="Y481" i="1"/>
  <c r="Y480" i="1"/>
  <c r="Y479" i="1"/>
  <c r="Y478" i="1"/>
  <c r="Y477" i="1"/>
  <c r="Y476" i="1"/>
  <c r="Y475" i="1"/>
  <c r="Y474" i="1"/>
  <c r="Y473" i="1"/>
  <c r="Y472" i="1"/>
  <c r="Y471" i="1"/>
  <c r="Y470" i="1"/>
  <c r="Y469" i="1"/>
  <c r="Y468" i="1"/>
  <c r="Y467" i="1"/>
  <c r="Y466" i="1"/>
  <c r="Y465" i="1"/>
  <c r="Y464" i="1"/>
  <c r="Y463" i="1"/>
  <c r="Y462" i="1"/>
  <c r="Y461" i="1"/>
  <c r="Y460" i="1"/>
  <c r="Y459" i="1"/>
  <c r="Y458" i="1"/>
  <c r="Y457" i="1"/>
  <c r="Y456" i="1"/>
  <c r="Y455" i="1"/>
  <c r="Y454" i="1"/>
  <c r="Y453" i="1"/>
  <c r="Y452" i="1"/>
  <c r="Y451" i="1"/>
  <c r="Y450" i="1"/>
  <c r="Y449" i="1"/>
  <c r="Y448" i="1"/>
  <c r="Y447" i="1"/>
  <c r="Y446" i="1"/>
  <c r="Y445" i="1"/>
  <c r="Y444" i="1"/>
  <c r="Y443" i="1"/>
  <c r="Y442" i="1"/>
  <c r="Y441" i="1"/>
  <c r="Y440" i="1"/>
  <c r="Y439" i="1"/>
  <c r="Y438" i="1"/>
  <c r="Y437" i="1"/>
  <c r="Y436" i="1"/>
  <c r="Y435" i="1"/>
  <c r="Y434" i="1"/>
  <c r="Y433" i="1"/>
  <c r="Y432" i="1"/>
  <c r="Y431" i="1"/>
  <c r="Y430" i="1"/>
  <c r="Y429" i="1"/>
  <c r="Y428" i="1"/>
  <c r="Y427" i="1"/>
  <c r="Y426" i="1"/>
  <c r="Y425" i="1"/>
  <c r="Y424" i="1"/>
  <c r="Y423" i="1"/>
  <c r="Y422" i="1"/>
  <c r="Y421" i="1"/>
  <c r="Y420" i="1"/>
  <c r="Y419" i="1"/>
  <c r="Y418" i="1"/>
  <c r="Y417" i="1"/>
  <c r="Y416" i="1"/>
  <c r="Y415" i="1"/>
  <c r="Y414" i="1"/>
  <c r="Y413" i="1"/>
  <c r="Y412" i="1"/>
  <c r="Y411" i="1"/>
  <c r="Y410" i="1"/>
  <c r="Y409" i="1"/>
  <c r="Y408" i="1"/>
  <c r="Y407" i="1"/>
  <c r="Y406" i="1"/>
  <c r="Y405" i="1"/>
  <c r="Y404" i="1"/>
  <c r="Y403" i="1"/>
  <c r="Y402" i="1"/>
  <c r="Y401" i="1"/>
  <c r="Y400" i="1"/>
  <c r="Y399" i="1"/>
  <c r="Y398" i="1"/>
  <c r="Y397" i="1"/>
  <c r="Y396" i="1"/>
  <c r="Y395" i="1"/>
  <c r="Y394" i="1"/>
  <c r="Y393" i="1"/>
  <c r="Y392" i="1"/>
  <c r="Y391" i="1"/>
  <c r="Y390" i="1"/>
  <c r="Y389" i="1"/>
  <c r="Y388" i="1"/>
  <c r="Y387" i="1"/>
  <c r="Y386" i="1"/>
  <c r="Y385" i="1"/>
  <c r="Y384" i="1"/>
  <c r="Y383" i="1"/>
  <c r="Y382" i="1"/>
  <c r="Y381" i="1"/>
  <c r="Y380" i="1"/>
  <c r="Y379" i="1"/>
  <c r="Y378" i="1"/>
  <c r="Y377" i="1"/>
  <c r="Y376" i="1"/>
  <c r="Y375" i="1"/>
  <c r="Y374" i="1"/>
  <c r="Y373" i="1"/>
  <c r="Y372" i="1"/>
  <c r="Y371" i="1"/>
  <c r="Y370" i="1"/>
  <c r="Y369" i="1"/>
  <c r="Y368" i="1"/>
  <c r="Y367" i="1"/>
  <c r="Y366" i="1"/>
  <c r="Y365" i="1"/>
  <c r="Y364" i="1"/>
  <c r="Y363" i="1"/>
  <c r="Y362" i="1"/>
  <c r="Y361" i="1"/>
  <c r="Y360" i="1"/>
  <c r="Y359" i="1"/>
  <c r="Y358" i="1"/>
  <c r="Y357" i="1"/>
  <c r="Y356" i="1"/>
  <c r="Y355" i="1"/>
  <c r="Y354" i="1"/>
  <c r="Y353" i="1"/>
  <c r="Y352" i="1"/>
  <c r="Y351" i="1"/>
  <c r="Y350" i="1"/>
  <c r="Y349" i="1"/>
  <c r="Y348" i="1"/>
  <c r="Y347" i="1"/>
  <c r="Y346" i="1"/>
  <c r="Y345" i="1"/>
  <c r="Y344" i="1"/>
  <c r="Y343" i="1"/>
  <c r="Y342" i="1"/>
  <c r="Y341" i="1"/>
  <c r="Y340" i="1"/>
  <c r="Y339" i="1"/>
  <c r="Y338" i="1"/>
  <c r="Y337" i="1"/>
  <c r="Y336" i="1"/>
  <c r="Y335" i="1"/>
  <c r="Y334" i="1"/>
  <c r="Y333" i="1"/>
  <c r="Y332" i="1"/>
  <c r="Y331" i="1"/>
  <c r="Y330" i="1"/>
  <c r="Y329" i="1"/>
  <c r="Y328" i="1"/>
  <c r="Y327" i="1"/>
  <c r="Y326" i="1"/>
  <c r="Y325" i="1"/>
  <c r="Y324" i="1"/>
  <c r="Y323" i="1"/>
  <c r="Y322" i="1"/>
  <c r="Y321" i="1"/>
  <c r="Y320" i="1"/>
  <c r="Y319" i="1"/>
  <c r="Y318" i="1"/>
  <c r="Y317" i="1"/>
  <c r="Y316" i="1"/>
  <c r="Y315" i="1"/>
  <c r="Y314" i="1"/>
  <c r="Y313" i="1"/>
  <c r="Y312" i="1"/>
  <c r="Y311" i="1"/>
  <c r="Y310" i="1"/>
  <c r="Y309" i="1"/>
  <c r="Y308" i="1"/>
  <c r="Y307" i="1"/>
  <c r="Y306" i="1"/>
  <c r="Y305" i="1"/>
  <c r="Y304" i="1"/>
  <c r="Y303" i="1"/>
  <c r="Y302" i="1"/>
  <c r="Y301" i="1"/>
  <c r="Y300" i="1"/>
  <c r="Y299" i="1"/>
  <c r="Y298" i="1"/>
  <c r="Y297" i="1"/>
  <c r="Y296" i="1"/>
  <c r="Y295" i="1"/>
  <c r="Y294" i="1"/>
  <c r="Y293" i="1"/>
  <c r="Y292" i="1"/>
  <c r="Y291" i="1"/>
  <c r="Y290" i="1"/>
  <c r="Y289" i="1"/>
  <c r="Y288" i="1"/>
  <c r="Y287" i="1"/>
  <c r="Y286" i="1"/>
  <c r="Y285" i="1"/>
  <c r="Y284" i="1"/>
  <c r="Y283" i="1"/>
  <c r="Y282" i="1"/>
  <c r="Y281" i="1"/>
  <c r="Y280" i="1"/>
  <c r="Y279" i="1"/>
  <c r="Y278" i="1"/>
  <c r="Y277" i="1"/>
  <c r="Y276" i="1"/>
  <c r="Y275" i="1"/>
  <c r="Y274" i="1"/>
  <c r="Y273" i="1"/>
  <c r="Y272" i="1"/>
  <c r="Y271" i="1"/>
  <c r="Y270" i="1"/>
  <c r="Y269" i="1"/>
  <c r="Y268" i="1"/>
  <c r="Y267" i="1"/>
  <c r="Y266" i="1"/>
  <c r="Y265" i="1"/>
  <c r="Y264" i="1"/>
  <c r="Y263" i="1"/>
  <c r="Y262" i="1"/>
  <c r="Y261" i="1"/>
  <c r="Y260" i="1"/>
  <c r="Y259" i="1"/>
  <c r="Y258" i="1"/>
  <c r="Y257" i="1"/>
  <c r="Y256" i="1"/>
  <c r="Y255" i="1"/>
  <c r="Y254" i="1"/>
  <c r="Y253" i="1"/>
  <c r="Y252" i="1"/>
  <c r="Y251" i="1"/>
  <c r="Y250" i="1"/>
  <c r="Y249" i="1"/>
  <c r="Y248" i="1"/>
  <c r="Y247" i="1"/>
  <c r="Y246" i="1"/>
  <c r="Y245" i="1"/>
  <c r="Y244" i="1"/>
  <c r="Y243" i="1"/>
  <c r="Y242" i="1"/>
  <c r="Y241" i="1"/>
  <c r="Y240" i="1"/>
  <c r="Y239" i="1"/>
  <c r="Y238" i="1"/>
  <c r="Y237" i="1"/>
  <c r="Y236" i="1"/>
  <c r="Y235" i="1"/>
  <c r="Y234" i="1"/>
  <c r="Y233" i="1"/>
  <c r="Y232" i="1"/>
  <c r="Y231" i="1"/>
  <c r="Y230" i="1"/>
  <c r="Y229" i="1"/>
  <c r="Y228" i="1"/>
  <c r="Y227" i="1"/>
  <c r="Y226" i="1"/>
  <c r="Y225" i="1"/>
  <c r="Y224" i="1"/>
  <c r="Y223" i="1"/>
  <c r="Y222" i="1"/>
  <c r="Y221" i="1"/>
  <c r="Y220" i="1"/>
  <c r="Y219" i="1"/>
  <c r="Y218" i="1"/>
  <c r="Y217" i="1"/>
  <c r="Y216" i="1"/>
  <c r="Y215" i="1"/>
  <c r="Y214" i="1"/>
  <c r="Y213" i="1"/>
  <c r="Y212" i="1"/>
  <c r="Y211" i="1"/>
  <c r="Y210" i="1"/>
  <c r="Y209" i="1"/>
  <c r="Y208" i="1"/>
  <c r="Y207" i="1"/>
  <c r="Y206" i="1"/>
  <c r="Y205" i="1"/>
  <c r="Y204" i="1"/>
  <c r="Y203" i="1"/>
  <c r="Y202" i="1"/>
  <c r="Y201" i="1"/>
  <c r="Y200" i="1"/>
  <c r="Y199" i="1"/>
  <c r="Y198" i="1"/>
  <c r="Y197" i="1"/>
  <c r="Y196" i="1"/>
  <c r="Y195" i="1"/>
  <c r="Y194" i="1"/>
  <c r="Y193" i="1"/>
  <c r="Y192" i="1"/>
  <c r="Y191" i="1"/>
  <c r="Y190" i="1"/>
  <c r="Y189" i="1"/>
  <c r="Y188" i="1"/>
  <c r="Y187" i="1"/>
  <c r="Y186" i="1"/>
  <c r="Y185" i="1"/>
  <c r="Y184" i="1"/>
  <c r="Y183" i="1"/>
  <c r="Y182" i="1"/>
  <c r="Y181" i="1"/>
  <c r="Y180" i="1"/>
  <c r="Y179" i="1"/>
  <c r="Y178" i="1"/>
  <c r="Y177" i="1"/>
  <c r="Y176" i="1"/>
  <c r="Y175" i="1"/>
  <c r="Y174" i="1"/>
  <c r="Y173" i="1"/>
  <c r="Y172" i="1"/>
  <c r="Y171" i="1"/>
  <c r="Y170" i="1"/>
  <c r="Y169" i="1"/>
  <c r="Y168" i="1"/>
  <c r="Y167" i="1"/>
  <c r="Y166" i="1"/>
  <c r="Y165" i="1"/>
  <c r="Y164" i="1"/>
  <c r="Y163" i="1"/>
  <c r="Y162" i="1"/>
  <c r="Y161" i="1"/>
  <c r="Y160" i="1"/>
  <c r="Y159" i="1"/>
  <c r="Y158" i="1"/>
  <c r="Y157" i="1"/>
  <c r="Y156" i="1"/>
  <c r="Y155" i="1"/>
  <c r="Y154" i="1"/>
  <c r="Y153" i="1"/>
  <c r="Y152" i="1"/>
  <c r="Y151" i="1"/>
  <c r="Y150" i="1"/>
  <c r="Y149" i="1"/>
  <c r="Y148" i="1"/>
  <c r="Y147" i="1"/>
  <c r="Y146" i="1"/>
  <c r="Y145" i="1"/>
  <c r="Y144" i="1"/>
  <c r="Y143" i="1"/>
  <c r="Y142" i="1"/>
  <c r="Y141" i="1"/>
  <c r="Y140" i="1"/>
  <c r="Y139" i="1"/>
  <c r="Y138" i="1"/>
  <c r="Y137" i="1"/>
  <c r="Y136" i="1"/>
  <c r="Y135" i="1"/>
  <c r="Y134" i="1"/>
  <c r="Y133" i="1"/>
  <c r="Y132" i="1"/>
  <c r="Y131" i="1"/>
  <c r="Y130" i="1"/>
  <c r="Y129" i="1"/>
  <c r="Y128" i="1"/>
  <c r="Y127" i="1"/>
  <c r="Y126" i="1"/>
  <c r="Y125" i="1"/>
  <c r="Y124" i="1"/>
  <c r="Y123" i="1"/>
  <c r="Y122" i="1"/>
  <c r="Y121" i="1"/>
  <c r="Y120" i="1"/>
  <c r="Y119" i="1"/>
  <c r="Y118" i="1"/>
  <c r="Y117" i="1"/>
  <c r="Y116" i="1"/>
  <c r="Y115" i="1"/>
  <c r="Y114" i="1"/>
  <c r="Y113" i="1"/>
  <c r="Y112" i="1"/>
  <c r="Y111" i="1"/>
  <c r="Y110" i="1"/>
  <c r="Y109" i="1"/>
  <c r="Y108" i="1"/>
  <c r="Y107" i="1"/>
  <c r="Y106" i="1"/>
  <c r="Y105" i="1"/>
  <c r="Y104" i="1"/>
  <c r="Y103" i="1"/>
  <c r="Y102" i="1"/>
  <c r="Y101" i="1"/>
  <c r="Y100" i="1"/>
  <c r="Y99" i="1"/>
  <c r="Y98" i="1"/>
  <c r="Y97" i="1"/>
  <c r="Y96" i="1"/>
  <c r="Y95" i="1"/>
  <c r="Y94" i="1"/>
  <c r="Y93" i="1"/>
  <c r="Y92" i="1"/>
  <c r="Y91" i="1"/>
  <c r="Y90" i="1"/>
  <c r="Y89" i="1"/>
  <c r="Y88" i="1"/>
  <c r="Y87" i="1"/>
  <c r="Y86" i="1"/>
  <c r="Y85" i="1"/>
  <c r="Y84" i="1"/>
  <c r="Y83" i="1"/>
  <c r="Y82" i="1"/>
  <c r="Y81" i="1"/>
  <c r="Y80" i="1"/>
  <c r="Y79" i="1"/>
  <c r="Y78" i="1"/>
  <c r="Y77" i="1"/>
  <c r="Y76" i="1"/>
  <c r="Y75" i="1"/>
  <c r="Y74" i="1"/>
  <c r="Y73" i="1"/>
  <c r="Y72" i="1"/>
  <c r="Y71" i="1"/>
  <c r="Y70" i="1"/>
  <c r="Y69" i="1"/>
  <c r="Y68" i="1"/>
  <c r="Y67" i="1"/>
  <c r="Y66" i="1"/>
  <c r="Y65" i="1"/>
  <c r="Y64" i="1"/>
  <c r="Y63" i="1"/>
  <c r="Y62" i="1"/>
  <c r="Y61" i="1"/>
  <c r="Y60" i="1"/>
  <c r="Y59" i="1"/>
  <c r="Y58" i="1"/>
  <c r="Y57" i="1"/>
  <c r="Y56" i="1"/>
  <c r="Y55" i="1"/>
  <c r="Y54" i="1"/>
  <c r="Y53" i="1"/>
  <c r="Y52" i="1"/>
  <c r="Y51" i="1"/>
  <c r="Y50" i="1"/>
  <c r="Y49" i="1"/>
  <c r="Y48" i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Y6" i="1"/>
  <c r="Y5" i="1"/>
  <c r="Y4" i="1"/>
  <c r="Y3" i="1"/>
  <c r="Y2" i="1"/>
  <c r="I553" i="1"/>
  <c r="I552" i="1"/>
  <c r="I551" i="1"/>
  <c r="I550" i="1"/>
  <c r="I549" i="1"/>
  <c r="I548" i="1"/>
  <c r="I547" i="1"/>
  <c r="I546" i="1"/>
  <c r="I545" i="1"/>
  <c r="I544" i="1"/>
  <c r="I543" i="1"/>
  <c r="I542" i="1"/>
  <c r="I541" i="1"/>
  <c r="I540" i="1"/>
  <c r="I539" i="1"/>
  <c r="I538" i="1"/>
  <c r="I537" i="1"/>
  <c r="I536" i="1"/>
  <c r="I535" i="1"/>
  <c r="I534" i="1"/>
  <c r="I533" i="1"/>
  <c r="I532" i="1"/>
  <c r="I531" i="1"/>
  <c r="I530" i="1"/>
  <c r="I529" i="1"/>
  <c r="I528" i="1"/>
  <c r="I527" i="1"/>
  <c r="I526" i="1"/>
  <c r="I525" i="1"/>
  <c r="I524" i="1"/>
  <c r="I523" i="1"/>
  <c r="I522" i="1"/>
  <c r="I521" i="1"/>
  <c r="I520" i="1"/>
  <c r="I519" i="1"/>
  <c r="I518" i="1"/>
  <c r="I517" i="1"/>
  <c r="I516" i="1"/>
  <c r="I515" i="1"/>
  <c r="I514" i="1"/>
  <c r="I513" i="1"/>
  <c r="I512" i="1"/>
  <c r="I511" i="1"/>
  <c r="I510" i="1"/>
  <c r="I509" i="1"/>
  <c r="I508" i="1"/>
  <c r="I507" i="1"/>
  <c r="I506" i="1"/>
  <c r="I505" i="1"/>
  <c r="I504" i="1"/>
  <c r="I503" i="1"/>
  <c r="I502" i="1"/>
  <c r="I501" i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I484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C553" i="1"/>
  <c r="F553" i="1"/>
  <c r="G553" i="1"/>
  <c r="C552" i="1"/>
  <c r="F552" i="1"/>
  <c r="G552" i="1"/>
  <c r="C551" i="1"/>
  <c r="F551" i="1"/>
  <c r="G551" i="1"/>
  <c r="C550" i="1"/>
  <c r="F550" i="1"/>
  <c r="G550" i="1"/>
  <c r="C549" i="1"/>
  <c r="F549" i="1"/>
  <c r="G549" i="1"/>
  <c r="C548" i="1"/>
  <c r="F548" i="1"/>
  <c r="G548" i="1"/>
  <c r="C547" i="1"/>
  <c r="F547" i="1"/>
  <c r="G547" i="1"/>
  <c r="C546" i="1"/>
  <c r="F546" i="1"/>
  <c r="G546" i="1"/>
  <c r="C545" i="1"/>
  <c r="F545" i="1"/>
  <c r="G545" i="1"/>
  <c r="C544" i="1"/>
  <c r="F544" i="1"/>
  <c r="G544" i="1"/>
  <c r="C543" i="1"/>
  <c r="F543" i="1"/>
  <c r="G543" i="1"/>
  <c r="C542" i="1"/>
  <c r="F542" i="1"/>
  <c r="G542" i="1"/>
  <c r="C541" i="1"/>
  <c r="F541" i="1"/>
  <c r="G541" i="1"/>
  <c r="C540" i="1"/>
  <c r="F540" i="1"/>
  <c r="G540" i="1"/>
  <c r="C539" i="1"/>
  <c r="F539" i="1"/>
  <c r="G539" i="1"/>
  <c r="C538" i="1"/>
  <c r="F538" i="1"/>
  <c r="G538" i="1"/>
  <c r="C537" i="1"/>
  <c r="F537" i="1"/>
  <c r="G537" i="1"/>
  <c r="C536" i="1"/>
  <c r="F536" i="1"/>
  <c r="G536" i="1"/>
  <c r="C535" i="1"/>
  <c r="F535" i="1"/>
  <c r="G535" i="1"/>
  <c r="C534" i="1"/>
  <c r="F534" i="1"/>
  <c r="G534" i="1"/>
  <c r="C533" i="1"/>
  <c r="F533" i="1"/>
  <c r="G533" i="1"/>
  <c r="C532" i="1"/>
  <c r="F532" i="1"/>
  <c r="G532" i="1"/>
  <c r="C531" i="1"/>
  <c r="F531" i="1"/>
  <c r="G531" i="1"/>
  <c r="C530" i="1"/>
  <c r="F530" i="1"/>
  <c r="G530" i="1"/>
  <c r="C529" i="1"/>
  <c r="F529" i="1"/>
  <c r="G529" i="1"/>
  <c r="C528" i="1"/>
  <c r="F528" i="1"/>
  <c r="G528" i="1"/>
  <c r="C527" i="1"/>
  <c r="F527" i="1"/>
  <c r="G527" i="1"/>
  <c r="C526" i="1"/>
  <c r="F526" i="1"/>
  <c r="G526" i="1"/>
  <c r="C525" i="1"/>
  <c r="F525" i="1"/>
  <c r="G525" i="1"/>
  <c r="C524" i="1"/>
  <c r="F524" i="1"/>
  <c r="G524" i="1"/>
  <c r="C523" i="1"/>
  <c r="F523" i="1"/>
  <c r="G523" i="1"/>
  <c r="C522" i="1"/>
  <c r="F522" i="1"/>
  <c r="G522" i="1"/>
  <c r="C521" i="1"/>
  <c r="F521" i="1"/>
  <c r="G521" i="1"/>
  <c r="C520" i="1"/>
  <c r="F520" i="1"/>
  <c r="G520" i="1"/>
  <c r="C519" i="1"/>
  <c r="F519" i="1"/>
  <c r="G519" i="1"/>
  <c r="C518" i="1"/>
  <c r="F518" i="1"/>
  <c r="G518" i="1"/>
  <c r="C517" i="1"/>
  <c r="F517" i="1"/>
  <c r="G517" i="1"/>
  <c r="C516" i="1"/>
  <c r="F516" i="1"/>
  <c r="G516" i="1"/>
  <c r="C515" i="1"/>
  <c r="F515" i="1"/>
  <c r="G515" i="1"/>
  <c r="C514" i="1"/>
  <c r="F514" i="1"/>
  <c r="G514" i="1"/>
  <c r="C513" i="1"/>
  <c r="F513" i="1"/>
  <c r="G513" i="1"/>
  <c r="C512" i="1"/>
  <c r="F512" i="1"/>
  <c r="G512" i="1"/>
  <c r="C511" i="1"/>
  <c r="F511" i="1"/>
  <c r="G511" i="1"/>
  <c r="C510" i="1"/>
  <c r="F510" i="1"/>
  <c r="G510" i="1"/>
  <c r="C509" i="1"/>
  <c r="F509" i="1"/>
  <c r="G509" i="1"/>
  <c r="C508" i="1"/>
  <c r="F508" i="1"/>
  <c r="G508" i="1"/>
  <c r="C507" i="1"/>
  <c r="F507" i="1"/>
  <c r="G507" i="1"/>
  <c r="C506" i="1"/>
  <c r="F506" i="1"/>
  <c r="G506" i="1"/>
  <c r="C505" i="1"/>
  <c r="F505" i="1"/>
  <c r="G505" i="1"/>
  <c r="C504" i="1"/>
  <c r="F504" i="1"/>
  <c r="G504" i="1"/>
  <c r="C503" i="1"/>
  <c r="F503" i="1"/>
  <c r="G503" i="1"/>
  <c r="C502" i="1"/>
  <c r="F502" i="1"/>
  <c r="G502" i="1"/>
  <c r="C501" i="1"/>
  <c r="F501" i="1"/>
  <c r="G501" i="1"/>
  <c r="C500" i="1"/>
  <c r="F500" i="1"/>
  <c r="G500" i="1"/>
  <c r="C499" i="1"/>
  <c r="F499" i="1"/>
  <c r="G499" i="1"/>
  <c r="C498" i="1"/>
  <c r="F498" i="1"/>
  <c r="G498" i="1"/>
  <c r="C497" i="1"/>
  <c r="F497" i="1"/>
  <c r="G497" i="1"/>
  <c r="C496" i="1"/>
  <c r="F496" i="1"/>
  <c r="G496" i="1"/>
  <c r="C495" i="1"/>
  <c r="F495" i="1"/>
  <c r="G495" i="1"/>
  <c r="C494" i="1"/>
  <c r="F494" i="1"/>
  <c r="G494" i="1"/>
  <c r="C493" i="1"/>
  <c r="F493" i="1"/>
  <c r="G493" i="1"/>
  <c r="C492" i="1"/>
  <c r="F492" i="1"/>
  <c r="G492" i="1"/>
  <c r="C491" i="1"/>
  <c r="F491" i="1"/>
  <c r="G491" i="1"/>
  <c r="C490" i="1"/>
  <c r="F490" i="1"/>
  <c r="G490" i="1"/>
  <c r="C489" i="1"/>
  <c r="F489" i="1"/>
  <c r="G489" i="1"/>
  <c r="C488" i="1"/>
  <c r="F488" i="1"/>
  <c r="G488" i="1"/>
  <c r="C487" i="1"/>
  <c r="F487" i="1"/>
  <c r="G487" i="1"/>
  <c r="C486" i="1"/>
  <c r="F486" i="1"/>
  <c r="G486" i="1"/>
  <c r="C485" i="1"/>
  <c r="F485" i="1"/>
  <c r="G485" i="1"/>
  <c r="C484" i="1"/>
  <c r="F484" i="1"/>
  <c r="G484" i="1"/>
  <c r="C483" i="1"/>
  <c r="F483" i="1"/>
  <c r="G483" i="1"/>
  <c r="C482" i="1"/>
  <c r="F482" i="1"/>
  <c r="G482" i="1"/>
  <c r="C481" i="1"/>
  <c r="F481" i="1"/>
  <c r="G481" i="1"/>
  <c r="C480" i="1"/>
  <c r="F480" i="1"/>
  <c r="G480" i="1"/>
  <c r="C479" i="1"/>
  <c r="F479" i="1"/>
  <c r="G479" i="1"/>
  <c r="C478" i="1"/>
  <c r="F478" i="1"/>
  <c r="G478" i="1"/>
  <c r="C477" i="1"/>
  <c r="F477" i="1"/>
  <c r="G477" i="1"/>
  <c r="C476" i="1"/>
  <c r="F476" i="1"/>
  <c r="G476" i="1"/>
  <c r="C475" i="1"/>
  <c r="F475" i="1"/>
  <c r="G475" i="1"/>
  <c r="C474" i="1"/>
  <c r="F474" i="1"/>
  <c r="G474" i="1"/>
  <c r="C473" i="1"/>
  <c r="F473" i="1"/>
  <c r="G473" i="1"/>
  <c r="C472" i="1"/>
  <c r="F472" i="1"/>
  <c r="G472" i="1"/>
  <c r="C471" i="1"/>
  <c r="F471" i="1"/>
  <c r="G471" i="1"/>
  <c r="C470" i="1"/>
  <c r="F470" i="1"/>
  <c r="G470" i="1"/>
  <c r="C469" i="1"/>
  <c r="F469" i="1"/>
  <c r="G469" i="1"/>
  <c r="C468" i="1"/>
  <c r="F468" i="1"/>
  <c r="G468" i="1"/>
  <c r="C467" i="1"/>
  <c r="F467" i="1"/>
  <c r="G467" i="1"/>
  <c r="C466" i="1"/>
  <c r="F466" i="1"/>
  <c r="G466" i="1"/>
  <c r="C465" i="1"/>
  <c r="F465" i="1"/>
  <c r="G465" i="1"/>
  <c r="C464" i="1"/>
  <c r="F464" i="1"/>
  <c r="G464" i="1"/>
  <c r="C463" i="1"/>
  <c r="F463" i="1"/>
  <c r="G463" i="1"/>
  <c r="C462" i="1"/>
  <c r="F462" i="1"/>
  <c r="G462" i="1"/>
  <c r="C461" i="1"/>
  <c r="F461" i="1"/>
  <c r="G461" i="1"/>
  <c r="C460" i="1"/>
  <c r="F460" i="1"/>
  <c r="G460" i="1"/>
  <c r="C459" i="1"/>
  <c r="F459" i="1"/>
  <c r="G459" i="1"/>
  <c r="C458" i="1"/>
  <c r="F458" i="1"/>
  <c r="G458" i="1"/>
  <c r="C457" i="1"/>
  <c r="F457" i="1"/>
  <c r="G457" i="1"/>
  <c r="C456" i="1"/>
  <c r="F456" i="1"/>
  <c r="G456" i="1"/>
  <c r="C455" i="1"/>
  <c r="F455" i="1"/>
  <c r="G455" i="1"/>
  <c r="C454" i="1"/>
  <c r="F454" i="1"/>
  <c r="G454" i="1"/>
  <c r="C453" i="1"/>
  <c r="F453" i="1"/>
  <c r="G453" i="1"/>
  <c r="C452" i="1"/>
  <c r="F452" i="1"/>
  <c r="G452" i="1"/>
  <c r="C451" i="1"/>
  <c r="F451" i="1"/>
  <c r="G451" i="1"/>
  <c r="C450" i="1"/>
  <c r="F450" i="1"/>
  <c r="G450" i="1"/>
  <c r="C449" i="1"/>
  <c r="F449" i="1"/>
  <c r="G449" i="1"/>
  <c r="C448" i="1"/>
  <c r="F448" i="1"/>
  <c r="G448" i="1"/>
  <c r="C447" i="1"/>
  <c r="F447" i="1"/>
  <c r="G447" i="1"/>
  <c r="C446" i="1"/>
  <c r="F446" i="1"/>
  <c r="G446" i="1"/>
  <c r="C445" i="1"/>
  <c r="F445" i="1"/>
  <c r="G445" i="1"/>
  <c r="C444" i="1"/>
  <c r="F444" i="1"/>
  <c r="G444" i="1"/>
  <c r="C443" i="1"/>
  <c r="F443" i="1"/>
  <c r="G443" i="1"/>
  <c r="C442" i="1"/>
  <c r="F442" i="1"/>
  <c r="G442" i="1"/>
  <c r="C441" i="1"/>
  <c r="F441" i="1"/>
  <c r="G441" i="1"/>
  <c r="C440" i="1"/>
  <c r="F440" i="1"/>
  <c r="G440" i="1"/>
  <c r="C439" i="1"/>
  <c r="F439" i="1"/>
  <c r="G439" i="1"/>
  <c r="C438" i="1"/>
  <c r="F438" i="1"/>
  <c r="G438" i="1"/>
  <c r="C437" i="1"/>
  <c r="F437" i="1"/>
  <c r="G437" i="1"/>
  <c r="C436" i="1"/>
  <c r="F436" i="1"/>
  <c r="G436" i="1"/>
  <c r="C435" i="1"/>
  <c r="F435" i="1"/>
  <c r="G435" i="1"/>
  <c r="C434" i="1"/>
  <c r="F434" i="1"/>
  <c r="G434" i="1"/>
  <c r="C433" i="1"/>
  <c r="F433" i="1"/>
  <c r="G433" i="1"/>
  <c r="C432" i="1"/>
  <c r="F432" i="1"/>
  <c r="G432" i="1"/>
  <c r="C431" i="1"/>
  <c r="F431" i="1"/>
  <c r="G431" i="1"/>
  <c r="C430" i="1"/>
  <c r="F430" i="1"/>
  <c r="G430" i="1"/>
  <c r="C429" i="1"/>
  <c r="F429" i="1"/>
  <c r="G429" i="1"/>
  <c r="C428" i="1"/>
  <c r="F428" i="1"/>
  <c r="G428" i="1"/>
  <c r="C427" i="1"/>
  <c r="F427" i="1"/>
  <c r="G427" i="1"/>
  <c r="C426" i="1"/>
  <c r="F426" i="1"/>
  <c r="G426" i="1"/>
  <c r="C425" i="1"/>
  <c r="F425" i="1"/>
  <c r="G425" i="1"/>
  <c r="C424" i="1"/>
  <c r="F424" i="1"/>
  <c r="G424" i="1"/>
  <c r="C423" i="1"/>
  <c r="F423" i="1"/>
  <c r="G423" i="1"/>
  <c r="C422" i="1"/>
  <c r="F422" i="1"/>
  <c r="G422" i="1"/>
  <c r="C421" i="1"/>
  <c r="F421" i="1"/>
  <c r="G421" i="1"/>
  <c r="C420" i="1"/>
  <c r="F420" i="1"/>
  <c r="G420" i="1"/>
  <c r="C419" i="1"/>
  <c r="F419" i="1"/>
  <c r="G419" i="1"/>
  <c r="C418" i="1"/>
  <c r="F418" i="1"/>
  <c r="G418" i="1"/>
  <c r="C417" i="1"/>
  <c r="F417" i="1"/>
  <c r="G417" i="1"/>
  <c r="C416" i="1"/>
  <c r="F416" i="1"/>
  <c r="G416" i="1"/>
  <c r="C415" i="1"/>
  <c r="F415" i="1"/>
  <c r="G415" i="1"/>
  <c r="C414" i="1"/>
  <c r="F414" i="1"/>
  <c r="G414" i="1"/>
  <c r="C413" i="1"/>
  <c r="F413" i="1"/>
  <c r="G413" i="1"/>
  <c r="C412" i="1"/>
  <c r="F412" i="1"/>
  <c r="G412" i="1"/>
  <c r="C411" i="1"/>
  <c r="F411" i="1"/>
  <c r="G411" i="1"/>
  <c r="C410" i="1"/>
  <c r="F410" i="1"/>
  <c r="G410" i="1"/>
  <c r="C409" i="1"/>
  <c r="F409" i="1"/>
  <c r="G409" i="1"/>
  <c r="C408" i="1"/>
  <c r="F408" i="1"/>
  <c r="G408" i="1"/>
  <c r="C407" i="1"/>
  <c r="F407" i="1"/>
  <c r="G407" i="1"/>
  <c r="C406" i="1"/>
  <c r="F406" i="1"/>
  <c r="G406" i="1"/>
  <c r="C405" i="1"/>
  <c r="F405" i="1"/>
  <c r="G405" i="1"/>
  <c r="C404" i="1"/>
  <c r="F404" i="1"/>
  <c r="G404" i="1"/>
  <c r="C403" i="1"/>
  <c r="F403" i="1"/>
  <c r="G403" i="1"/>
  <c r="C402" i="1"/>
  <c r="F402" i="1"/>
  <c r="G402" i="1"/>
  <c r="C401" i="1"/>
  <c r="F401" i="1"/>
  <c r="G401" i="1"/>
  <c r="C400" i="1"/>
  <c r="F400" i="1"/>
  <c r="G400" i="1"/>
  <c r="C399" i="1"/>
  <c r="F399" i="1"/>
  <c r="G399" i="1"/>
  <c r="C398" i="1"/>
  <c r="F398" i="1"/>
  <c r="G398" i="1"/>
  <c r="C397" i="1"/>
  <c r="F397" i="1"/>
  <c r="G397" i="1"/>
  <c r="C396" i="1"/>
  <c r="F396" i="1"/>
  <c r="G396" i="1"/>
  <c r="C395" i="1"/>
  <c r="F395" i="1"/>
  <c r="G395" i="1"/>
  <c r="C394" i="1"/>
  <c r="F394" i="1"/>
  <c r="G394" i="1"/>
  <c r="C393" i="1"/>
  <c r="F393" i="1"/>
  <c r="G393" i="1"/>
  <c r="C392" i="1"/>
  <c r="F392" i="1"/>
  <c r="G392" i="1"/>
  <c r="C391" i="1"/>
  <c r="F391" i="1"/>
  <c r="G391" i="1"/>
  <c r="C390" i="1"/>
  <c r="F390" i="1"/>
  <c r="G390" i="1"/>
  <c r="C389" i="1"/>
  <c r="F389" i="1"/>
  <c r="G389" i="1"/>
  <c r="C388" i="1"/>
  <c r="F388" i="1"/>
  <c r="G388" i="1"/>
  <c r="C387" i="1"/>
  <c r="F387" i="1"/>
  <c r="G387" i="1"/>
  <c r="C386" i="1"/>
  <c r="F386" i="1"/>
  <c r="G386" i="1"/>
  <c r="C385" i="1"/>
  <c r="F385" i="1"/>
  <c r="G385" i="1"/>
  <c r="C384" i="1"/>
  <c r="F384" i="1"/>
  <c r="G384" i="1"/>
  <c r="C383" i="1"/>
  <c r="F383" i="1"/>
  <c r="G383" i="1"/>
  <c r="C382" i="1"/>
  <c r="F382" i="1"/>
  <c r="G382" i="1"/>
  <c r="C381" i="1"/>
  <c r="F381" i="1"/>
  <c r="G381" i="1"/>
  <c r="C380" i="1"/>
  <c r="F380" i="1"/>
  <c r="G380" i="1"/>
  <c r="C379" i="1"/>
  <c r="F379" i="1"/>
  <c r="G379" i="1"/>
  <c r="C378" i="1"/>
  <c r="F378" i="1"/>
  <c r="G378" i="1"/>
  <c r="C377" i="1"/>
  <c r="F377" i="1"/>
  <c r="G377" i="1"/>
  <c r="C376" i="1"/>
  <c r="F376" i="1"/>
  <c r="G376" i="1"/>
  <c r="C375" i="1"/>
  <c r="F375" i="1"/>
  <c r="G375" i="1"/>
  <c r="C374" i="1"/>
  <c r="F374" i="1"/>
  <c r="G374" i="1"/>
  <c r="C373" i="1"/>
  <c r="F373" i="1"/>
  <c r="G373" i="1"/>
  <c r="C372" i="1"/>
  <c r="F372" i="1"/>
  <c r="G372" i="1"/>
  <c r="C371" i="1"/>
  <c r="F371" i="1"/>
  <c r="G371" i="1"/>
  <c r="C370" i="1"/>
  <c r="F370" i="1"/>
  <c r="G370" i="1"/>
  <c r="C369" i="1"/>
  <c r="F369" i="1"/>
  <c r="G369" i="1"/>
  <c r="C368" i="1"/>
  <c r="F368" i="1"/>
  <c r="G368" i="1"/>
  <c r="C367" i="1"/>
  <c r="F367" i="1"/>
  <c r="G367" i="1"/>
  <c r="C366" i="1"/>
  <c r="F366" i="1"/>
  <c r="G366" i="1"/>
  <c r="C365" i="1"/>
  <c r="F365" i="1"/>
  <c r="G365" i="1"/>
  <c r="C364" i="1"/>
  <c r="F364" i="1"/>
  <c r="G364" i="1"/>
  <c r="C363" i="1"/>
  <c r="F363" i="1"/>
  <c r="G363" i="1"/>
  <c r="C362" i="1"/>
  <c r="F362" i="1"/>
  <c r="G362" i="1"/>
  <c r="C361" i="1"/>
  <c r="F361" i="1"/>
  <c r="G361" i="1"/>
  <c r="C360" i="1"/>
  <c r="F360" i="1"/>
  <c r="G360" i="1"/>
  <c r="C359" i="1"/>
  <c r="F359" i="1"/>
  <c r="G359" i="1"/>
  <c r="C358" i="1"/>
  <c r="F358" i="1"/>
  <c r="G358" i="1"/>
  <c r="C357" i="1"/>
  <c r="F357" i="1"/>
  <c r="G357" i="1"/>
  <c r="C356" i="1"/>
  <c r="F356" i="1"/>
  <c r="G356" i="1"/>
  <c r="C355" i="1"/>
  <c r="F355" i="1"/>
  <c r="G355" i="1"/>
  <c r="C354" i="1"/>
  <c r="F354" i="1"/>
  <c r="G354" i="1"/>
  <c r="C353" i="1"/>
  <c r="F353" i="1"/>
  <c r="G353" i="1"/>
  <c r="C352" i="1"/>
  <c r="F352" i="1"/>
  <c r="G352" i="1"/>
  <c r="C351" i="1"/>
  <c r="F351" i="1"/>
  <c r="G351" i="1"/>
  <c r="C350" i="1"/>
  <c r="F350" i="1"/>
  <c r="G350" i="1"/>
  <c r="C349" i="1"/>
  <c r="F349" i="1"/>
  <c r="G349" i="1"/>
  <c r="C348" i="1"/>
  <c r="F348" i="1"/>
  <c r="G348" i="1"/>
  <c r="C347" i="1"/>
  <c r="F347" i="1"/>
  <c r="G347" i="1"/>
  <c r="C346" i="1"/>
  <c r="F346" i="1"/>
  <c r="G346" i="1"/>
  <c r="C345" i="1"/>
  <c r="F345" i="1"/>
  <c r="G345" i="1"/>
  <c r="C344" i="1"/>
  <c r="F344" i="1"/>
  <c r="G344" i="1"/>
  <c r="C343" i="1"/>
  <c r="F343" i="1"/>
  <c r="G343" i="1"/>
  <c r="C342" i="1"/>
  <c r="F342" i="1"/>
  <c r="G342" i="1"/>
  <c r="C341" i="1"/>
  <c r="F341" i="1"/>
  <c r="G341" i="1"/>
  <c r="C340" i="1"/>
  <c r="F340" i="1"/>
  <c r="G340" i="1"/>
  <c r="C339" i="1"/>
  <c r="F339" i="1"/>
  <c r="G339" i="1"/>
  <c r="C338" i="1"/>
  <c r="F338" i="1"/>
  <c r="G338" i="1"/>
  <c r="C337" i="1"/>
  <c r="F337" i="1"/>
  <c r="G337" i="1"/>
  <c r="C336" i="1"/>
  <c r="F336" i="1"/>
  <c r="G336" i="1"/>
  <c r="C335" i="1"/>
  <c r="F335" i="1"/>
  <c r="G335" i="1"/>
  <c r="C334" i="1"/>
  <c r="F334" i="1"/>
  <c r="G334" i="1"/>
  <c r="C333" i="1"/>
  <c r="F333" i="1"/>
  <c r="G333" i="1"/>
  <c r="C332" i="1"/>
  <c r="F332" i="1"/>
  <c r="G332" i="1"/>
  <c r="C331" i="1"/>
  <c r="F331" i="1"/>
  <c r="G331" i="1"/>
  <c r="C330" i="1"/>
  <c r="F330" i="1"/>
  <c r="G330" i="1"/>
  <c r="C329" i="1"/>
  <c r="F329" i="1"/>
  <c r="G329" i="1"/>
  <c r="C328" i="1"/>
  <c r="F328" i="1"/>
  <c r="G328" i="1"/>
  <c r="C327" i="1"/>
  <c r="F327" i="1"/>
  <c r="G327" i="1"/>
  <c r="C326" i="1"/>
  <c r="F326" i="1"/>
  <c r="G326" i="1"/>
  <c r="C325" i="1"/>
  <c r="F325" i="1"/>
  <c r="G325" i="1"/>
  <c r="C324" i="1"/>
  <c r="F324" i="1"/>
  <c r="G324" i="1"/>
  <c r="C323" i="1"/>
  <c r="F323" i="1"/>
  <c r="G323" i="1"/>
  <c r="C322" i="1"/>
  <c r="F322" i="1"/>
  <c r="G322" i="1"/>
  <c r="C321" i="1"/>
  <c r="F321" i="1"/>
  <c r="G321" i="1"/>
  <c r="C320" i="1"/>
  <c r="F320" i="1"/>
  <c r="G320" i="1"/>
  <c r="C319" i="1"/>
  <c r="F319" i="1"/>
  <c r="G319" i="1"/>
  <c r="C318" i="1"/>
  <c r="F318" i="1"/>
  <c r="G318" i="1"/>
  <c r="C317" i="1"/>
  <c r="F317" i="1"/>
  <c r="G317" i="1"/>
  <c r="C316" i="1"/>
  <c r="F316" i="1"/>
  <c r="G316" i="1"/>
  <c r="C315" i="1"/>
  <c r="F315" i="1"/>
  <c r="G315" i="1"/>
  <c r="C314" i="1"/>
  <c r="F314" i="1"/>
  <c r="G314" i="1"/>
  <c r="C313" i="1"/>
  <c r="F313" i="1"/>
  <c r="G313" i="1"/>
  <c r="C312" i="1"/>
  <c r="F312" i="1"/>
  <c r="G312" i="1"/>
  <c r="C311" i="1"/>
  <c r="F311" i="1"/>
  <c r="G311" i="1"/>
  <c r="C310" i="1"/>
  <c r="F310" i="1"/>
  <c r="G310" i="1"/>
  <c r="C309" i="1"/>
  <c r="F309" i="1"/>
  <c r="G309" i="1"/>
  <c r="C308" i="1"/>
  <c r="F308" i="1"/>
  <c r="G308" i="1"/>
  <c r="C307" i="1"/>
  <c r="F307" i="1"/>
  <c r="G307" i="1"/>
  <c r="C306" i="1"/>
  <c r="F306" i="1"/>
  <c r="G306" i="1"/>
  <c r="C305" i="1"/>
  <c r="F305" i="1"/>
  <c r="G305" i="1"/>
  <c r="C304" i="1"/>
  <c r="F304" i="1"/>
  <c r="G304" i="1"/>
  <c r="C303" i="1"/>
  <c r="F303" i="1"/>
  <c r="G303" i="1"/>
  <c r="C302" i="1"/>
  <c r="F302" i="1"/>
  <c r="G302" i="1"/>
  <c r="C301" i="1"/>
  <c r="F301" i="1"/>
  <c r="G301" i="1"/>
  <c r="C300" i="1"/>
  <c r="F300" i="1"/>
  <c r="G300" i="1"/>
  <c r="C299" i="1"/>
  <c r="F299" i="1"/>
  <c r="G299" i="1"/>
  <c r="C298" i="1"/>
  <c r="F298" i="1"/>
  <c r="G298" i="1"/>
  <c r="C297" i="1"/>
  <c r="F297" i="1"/>
  <c r="G297" i="1"/>
  <c r="C296" i="1"/>
  <c r="F296" i="1"/>
  <c r="G296" i="1"/>
  <c r="C295" i="1"/>
  <c r="F295" i="1"/>
  <c r="G295" i="1"/>
  <c r="C294" i="1"/>
  <c r="F294" i="1"/>
  <c r="G294" i="1"/>
  <c r="C293" i="1"/>
  <c r="F293" i="1"/>
  <c r="G293" i="1"/>
  <c r="C292" i="1"/>
  <c r="F292" i="1"/>
  <c r="G292" i="1"/>
  <c r="C291" i="1"/>
  <c r="F291" i="1"/>
  <c r="G291" i="1"/>
  <c r="C290" i="1"/>
  <c r="F290" i="1"/>
  <c r="G290" i="1"/>
  <c r="C289" i="1"/>
  <c r="F289" i="1"/>
  <c r="G289" i="1"/>
  <c r="C288" i="1"/>
  <c r="F288" i="1"/>
  <c r="G288" i="1"/>
  <c r="C287" i="1"/>
  <c r="F287" i="1"/>
  <c r="G287" i="1"/>
  <c r="C286" i="1"/>
  <c r="F286" i="1"/>
  <c r="G286" i="1"/>
  <c r="C285" i="1"/>
  <c r="F285" i="1"/>
  <c r="G285" i="1"/>
  <c r="C284" i="1"/>
  <c r="F284" i="1"/>
  <c r="G284" i="1"/>
  <c r="C283" i="1"/>
  <c r="F283" i="1"/>
  <c r="G283" i="1"/>
  <c r="C282" i="1"/>
  <c r="F282" i="1"/>
  <c r="G282" i="1"/>
  <c r="C281" i="1"/>
  <c r="F281" i="1"/>
  <c r="G281" i="1"/>
  <c r="C280" i="1"/>
  <c r="F280" i="1"/>
  <c r="G280" i="1"/>
  <c r="C279" i="1"/>
  <c r="F279" i="1"/>
  <c r="G279" i="1"/>
  <c r="C278" i="1"/>
  <c r="F278" i="1"/>
  <c r="G278" i="1"/>
  <c r="C277" i="1"/>
  <c r="F277" i="1"/>
  <c r="G277" i="1"/>
  <c r="C276" i="1"/>
  <c r="F276" i="1"/>
  <c r="G276" i="1"/>
  <c r="C275" i="1"/>
  <c r="F275" i="1"/>
  <c r="G275" i="1"/>
  <c r="C274" i="1"/>
  <c r="F274" i="1"/>
  <c r="G274" i="1"/>
  <c r="C273" i="1"/>
  <c r="F273" i="1"/>
  <c r="G273" i="1"/>
  <c r="C272" i="1"/>
  <c r="F272" i="1"/>
  <c r="G272" i="1"/>
  <c r="C271" i="1"/>
  <c r="F271" i="1"/>
  <c r="G271" i="1"/>
  <c r="C270" i="1"/>
  <c r="F270" i="1"/>
  <c r="G270" i="1"/>
  <c r="C269" i="1"/>
  <c r="F269" i="1"/>
  <c r="G269" i="1"/>
  <c r="C268" i="1"/>
  <c r="F268" i="1"/>
  <c r="G268" i="1"/>
  <c r="C267" i="1"/>
  <c r="F267" i="1"/>
  <c r="G267" i="1"/>
  <c r="C266" i="1"/>
  <c r="F266" i="1"/>
  <c r="G266" i="1"/>
  <c r="C265" i="1"/>
  <c r="F265" i="1"/>
  <c r="G265" i="1"/>
  <c r="C264" i="1"/>
  <c r="F264" i="1"/>
  <c r="G264" i="1"/>
  <c r="C263" i="1"/>
  <c r="F263" i="1"/>
  <c r="G263" i="1"/>
  <c r="C262" i="1"/>
  <c r="F262" i="1"/>
  <c r="G262" i="1"/>
  <c r="C261" i="1"/>
  <c r="F261" i="1"/>
  <c r="G261" i="1"/>
  <c r="C260" i="1"/>
  <c r="F260" i="1"/>
  <c r="G260" i="1"/>
  <c r="C259" i="1"/>
  <c r="F259" i="1"/>
  <c r="G259" i="1"/>
  <c r="C258" i="1"/>
  <c r="F258" i="1"/>
  <c r="G258" i="1"/>
  <c r="C257" i="1"/>
  <c r="F257" i="1"/>
  <c r="G257" i="1"/>
  <c r="C256" i="1"/>
  <c r="F256" i="1"/>
  <c r="G256" i="1"/>
  <c r="C255" i="1"/>
  <c r="F255" i="1"/>
  <c r="G255" i="1"/>
  <c r="C254" i="1"/>
  <c r="F254" i="1"/>
  <c r="G254" i="1"/>
  <c r="C253" i="1"/>
  <c r="F253" i="1"/>
  <c r="G253" i="1"/>
  <c r="C252" i="1"/>
  <c r="F252" i="1"/>
  <c r="G252" i="1"/>
  <c r="C251" i="1"/>
  <c r="F251" i="1"/>
  <c r="G251" i="1"/>
  <c r="C250" i="1"/>
  <c r="F250" i="1"/>
  <c r="G250" i="1"/>
  <c r="C249" i="1"/>
  <c r="F249" i="1"/>
  <c r="G249" i="1"/>
  <c r="C248" i="1"/>
  <c r="F248" i="1"/>
  <c r="G248" i="1"/>
  <c r="C247" i="1"/>
  <c r="F247" i="1"/>
  <c r="G247" i="1"/>
  <c r="C246" i="1"/>
  <c r="F246" i="1"/>
  <c r="G246" i="1"/>
  <c r="C245" i="1"/>
  <c r="F245" i="1"/>
  <c r="G245" i="1"/>
  <c r="C244" i="1"/>
  <c r="F244" i="1"/>
  <c r="G244" i="1"/>
  <c r="C243" i="1"/>
  <c r="F243" i="1"/>
  <c r="G243" i="1"/>
  <c r="C242" i="1"/>
  <c r="F242" i="1"/>
  <c r="G242" i="1"/>
  <c r="C241" i="1"/>
  <c r="F241" i="1"/>
  <c r="G241" i="1"/>
  <c r="C240" i="1"/>
  <c r="F240" i="1"/>
  <c r="G240" i="1"/>
  <c r="C239" i="1"/>
  <c r="F239" i="1"/>
  <c r="G239" i="1"/>
  <c r="C238" i="1"/>
  <c r="F238" i="1"/>
  <c r="G238" i="1"/>
  <c r="C237" i="1"/>
  <c r="F237" i="1"/>
  <c r="G237" i="1"/>
  <c r="C236" i="1"/>
  <c r="F236" i="1"/>
  <c r="G236" i="1"/>
  <c r="C235" i="1"/>
  <c r="F235" i="1"/>
  <c r="G235" i="1"/>
  <c r="C234" i="1"/>
  <c r="F234" i="1"/>
  <c r="G234" i="1"/>
  <c r="C233" i="1"/>
  <c r="F233" i="1"/>
  <c r="G233" i="1"/>
  <c r="C232" i="1"/>
  <c r="F232" i="1"/>
  <c r="G232" i="1"/>
  <c r="C231" i="1"/>
  <c r="F231" i="1"/>
  <c r="G231" i="1"/>
  <c r="C230" i="1"/>
  <c r="F230" i="1"/>
  <c r="G230" i="1"/>
  <c r="C229" i="1"/>
  <c r="F229" i="1"/>
  <c r="G229" i="1"/>
  <c r="C228" i="1"/>
  <c r="F228" i="1"/>
  <c r="G228" i="1"/>
  <c r="C227" i="1"/>
  <c r="F227" i="1"/>
  <c r="G227" i="1"/>
  <c r="C226" i="1"/>
  <c r="F226" i="1"/>
  <c r="G226" i="1"/>
  <c r="C225" i="1"/>
  <c r="F225" i="1"/>
  <c r="G225" i="1"/>
  <c r="C224" i="1"/>
  <c r="F224" i="1"/>
  <c r="G224" i="1"/>
  <c r="C223" i="1"/>
  <c r="F223" i="1"/>
  <c r="G223" i="1"/>
  <c r="C222" i="1"/>
  <c r="F222" i="1"/>
  <c r="G222" i="1"/>
  <c r="C221" i="1"/>
  <c r="F221" i="1"/>
  <c r="G221" i="1"/>
  <c r="C220" i="1"/>
  <c r="F220" i="1"/>
  <c r="G220" i="1"/>
  <c r="C219" i="1"/>
  <c r="F219" i="1"/>
  <c r="G219" i="1"/>
  <c r="C218" i="1"/>
  <c r="F218" i="1"/>
  <c r="G218" i="1"/>
  <c r="C217" i="1"/>
  <c r="F217" i="1"/>
  <c r="G217" i="1"/>
  <c r="C216" i="1"/>
  <c r="F216" i="1"/>
  <c r="G216" i="1"/>
  <c r="C215" i="1"/>
  <c r="F215" i="1"/>
  <c r="G215" i="1"/>
  <c r="C214" i="1"/>
  <c r="F214" i="1"/>
  <c r="G214" i="1"/>
  <c r="C213" i="1"/>
  <c r="F213" i="1"/>
  <c r="G213" i="1"/>
  <c r="C212" i="1"/>
  <c r="F212" i="1"/>
  <c r="G212" i="1"/>
  <c r="C211" i="1"/>
  <c r="F211" i="1"/>
  <c r="G211" i="1"/>
  <c r="C210" i="1"/>
  <c r="F210" i="1"/>
  <c r="G210" i="1"/>
  <c r="C209" i="1"/>
  <c r="F209" i="1"/>
  <c r="G209" i="1"/>
  <c r="C208" i="1"/>
  <c r="F208" i="1"/>
  <c r="G208" i="1"/>
  <c r="C207" i="1"/>
  <c r="F207" i="1"/>
  <c r="G207" i="1"/>
  <c r="C206" i="1"/>
  <c r="F206" i="1"/>
  <c r="G206" i="1"/>
  <c r="C205" i="1"/>
  <c r="F205" i="1"/>
  <c r="G205" i="1"/>
  <c r="C204" i="1"/>
  <c r="F204" i="1"/>
  <c r="G204" i="1"/>
  <c r="C203" i="1"/>
  <c r="F203" i="1"/>
  <c r="G203" i="1"/>
  <c r="C202" i="1"/>
  <c r="F202" i="1"/>
  <c r="G202" i="1"/>
  <c r="C201" i="1"/>
  <c r="F201" i="1"/>
  <c r="G201" i="1"/>
  <c r="C200" i="1"/>
  <c r="F200" i="1"/>
  <c r="G200" i="1"/>
  <c r="C199" i="1"/>
  <c r="F199" i="1"/>
  <c r="G199" i="1"/>
  <c r="C198" i="1"/>
  <c r="F198" i="1"/>
  <c r="G198" i="1"/>
  <c r="C197" i="1"/>
  <c r="F197" i="1"/>
  <c r="G197" i="1"/>
  <c r="C196" i="1"/>
  <c r="F196" i="1"/>
  <c r="G196" i="1"/>
  <c r="C195" i="1"/>
  <c r="F195" i="1"/>
  <c r="G195" i="1"/>
  <c r="C194" i="1"/>
  <c r="F194" i="1"/>
  <c r="G194" i="1"/>
  <c r="C193" i="1"/>
  <c r="F193" i="1"/>
  <c r="G193" i="1"/>
  <c r="C192" i="1"/>
  <c r="F192" i="1"/>
  <c r="G192" i="1"/>
  <c r="C191" i="1"/>
  <c r="F191" i="1"/>
  <c r="G191" i="1"/>
  <c r="C190" i="1"/>
  <c r="F190" i="1"/>
  <c r="G190" i="1"/>
  <c r="C189" i="1"/>
  <c r="F189" i="1"/>
  <c r="G189" i="1"/>
  <c r="C188" i="1"/>
  <c r="F188" i="1"/>
  <c r="G188" i="1"/>
  <c r="C187" i="1"/>
  <c r="F187" i="1"/>
  <c r="G187" i="1"/>
  <c r="C186" i="1"/>
  <c r="F186" i="1"/>
  <c r="G186" i="1"/>
  <c r="C185" i="1"/>
  <c r="F185" i="1"/>
  <c r="G185" i="1"/>
  <c r="C184" i="1"/>
  <c r="F184" i="1"/>
  <c r="G184" i="1"/>
  <c r="C183" i="1"/>
  <c r="F183" i="1"/>
  <c r="G183" i="1"/>
  <c r="C182" i="1"/>
  <c r="F182" i="1"/>
  <c r="G182" i="1"/>
  <c r="C181" i="1"/>
  <c r="F181" i="1"/>
  <c r="G181" i="1"/>
  <c r="C180" i="1"/>
  <c r="F180" i="1"/>
  <c r="G180" i="1"/>
  <c r="C179" i="1"/>
  <c r="F179" i="1"/>
  <c r="G179" i="1"/>
  <c r="C178" i="1"/>
  <c r="F178" i="1"/>
  <c r="G178" i="1"/>
  <c r="C177" i="1"/>
  <c r="F177" i="1"/>
  <c r="G177" i="1"/>
  <c r="C176" i="1"/>
  <c r="F176" i="1"/>
  <c r="G176" i="1"/>
  <c r="C175" i="1"/>
  <c r="F175" i="1"/>
  <c r="G175" i="1"/>
  <c r="C174" i="1"/>
  <c r="F174" i="1"/>
  <c r="G174" i="1"/>
  <c r="C173" i="1"/>
  <c r="F173" i="1"/>
  <c r="G173" i="1"/>
  <c r="C172" i="1"/>
  <c r="F172" i="1"/>
  <c r="G172" i="1"/>
  <c r="C171" i="1"/>
  <c r="F171" i="1"/>
  <c r="G171" i="1"/>
  <c r="C170" i="1"/>
  <c r="F170" i="1"/>
  <c r="G170" i="1"/>
  <c r="C169" i="1"/>
  <c r="F169" i="1"/>
  <c r="G169" i="1"/>
  <c r="C168" i="1"/>
  <c r="F168" i="1"/>
  <c r="G168" i="1"/>
  <c r="C167" i="1"/>
  <c r="F167" i="1"/>
  <c r="G167" i="1"/>
  <c r="C166" i="1"/>
  <c r="F166" i="1"/>
  <c r="G166" i="1"/>
  <c r="C165" i="1"/>
  <c r="F165" i="1"/>
  <c r="G165" i="1"/>
  <c r="C164" i="1"/>
  <c r="F164" i="1"/>
  <c r="G164" i="1"/>
  <c r="C163" i="1"/>
  <c r="F163" i="1"/>
  <c r="G163" i="1"/>
  <c r="C162" i="1"/>
  <c r="F162" i="1"/>
  <c r="G162" i="1"/>
  <c r="C161" i="1"/>
  <c r="F161" i="1"/>
  <c r="G161" i="1"/>
  <c r="C160" i="1"/>
  <c r="F160" i="1"/>
  <c r="G160" i="1"/>
  <c r="C159" i="1"/>
  <c r="F159" i="1"/>
  <c r="G159" i="1"/>
  <c r="C158" i="1"/>
  <c r="F158" i="1"/>
  <c r="G158" i="1"/>
  <c r="C157" i="1"/>
  <c r="F157" i="1"/>
  <c r="G157" i="1"/>
  <c r="C156" i="1"/>
  <c r="F156" i="1"/>
  <c r="G156" i="1"/>
  <c r="C155" i="1"/>
  <c r="F155" i="1"/>
  <c r="G155" i="1"/>
  <c r="C154" i="1"/>
  <c r="F154" i="1"/>
  <c r="G154" i="1"/>
  <c r="C153" i="1"/>
  <c r="F153" i="1"/>
  <c r="G153" i="1"/>
  <c r="C152" i="1"/>
  <c r="F152" i="1"/>
  <c r="G152" i="1"/>
  <c r="C151" i="1"/>
  <c r="F151" i="1"/>
  <c r="G151" i="1"/>
  <c r="C150" i="1"/>
  <c r="F150" i="1"/>
  <c r="G150" i="1"/>
  <c r="C149" i="1"/>
  <c r="F149" i="1"/>
  <c r="G149" i="1"/>
  <c r="C148" i="1"/>
  <c r="F148" i="1"/>
  <c r="G148" i="1"/>
  <c r="C147" i="1"/>
  <c r="F147" i="1"/>
  <c r="G147" i="1"/>
  <c r="C146" i="1"/>
  <c r="F146" i="1"/>
  <c r="G146" i="1"/>
  <c r="C145" i="1"/>
  <c r="F145" i="1"/>
  <c r="G145" i="1"/>
  <c r="C144" i="1"/>
  <c r="F144" i="1"/>
  <c r="G144" i="1"/>
  <c r="C143" i="1"/>
  <c r="F143" i="1"/>
  <c r="G143" i="1"/>
  <c r="C142" i="1"/>
  <c r="F142" i="1"/>
  <c r="G142" i="1"/>
  <c r="C141" i="1"/>
  <c r="F141" i="1"/>
  <c r="G141" i="1"/>
  <c r="C140" i="1"/>
  <c r="F140" i="1"/>
  <c r="G140" i="1"/>
  <c r="C139" i="1"/>
  <c r="F139" i="1"/>
  <c r="G139" i="1"/>
  <c r="C138" i="1"/>
  <c r="F138" i="1"/>
  <c r="G138" i="1"/>
  <c r="C137" i="1"/>
  <c r="F137" i="1"/>
  <c r="G137" i="1"/>
  <c r="C136" i="1"/>
  <c r="F136" i="1"/>
  <c r="G136" i="1"/>
  <c r="C135" i="1"/>
  <c r="F135" i="1"/>
  <c r="G135" i="1"/>
  <c r="C134" i="1"/>
  <c r="F134" i="1"/>
  <c r="G134" i="1"/>
  <c r="C133" i="1"/>
  <c r="F133" i="1"/>
  <c r="G133" i="1"/>
  <c r="C132" i="1"/>
  <c r="F132" i="1"/>
  <c r="G132" i="1"/>
  <c r="C131" i="1"/>
  <c r="F131" i="1"/>
  <c r="G131" i="1"/>
  <c r="C130" i="1"/>
  <c r="F130" i="1"/>
  <c r="G130" i="1"/>
  <c r="C129" i="1"/>
  <c r="F129" i="1"/>
  <c r="G129" i="1"/>
  <c r="C128" i="1"/>
  <c r="F128" i="1"/>
  <c r="G128" i="1"/>
  <c r="C127" i="1"/>
  <c r="F127" i="1"/>
  <c r="G127" i="1"/>
  <c r="C126" i="1"/>
  <c r="F126" i="1"/>
  <c r="G126" i="1"/>
  <c r="C125" i="1"/>
  <c r="F125" i="1"/>
  <c r="G125" i="1"/>
  <c r="C124" i="1"/>
  <c r="F124" i="1"/>
  <c r="G124" i="1"/>
  <c r="C123" i="1"/>
  <c r="F123" i="1"/>
  <c r="G123" i="1"/>
  <c r="C122" i="1"/>
  <c r="F122" i="1"/>
  <c r="G122" i="1"/>
  <c r="C121" i="1"/>
  <c r="F121" i="1"/>
  <c r="G121" i="1"/>
  <c r="C120" i="1"/>
  <c r="F120" i="1"/>
  <c r="G120" i="1"/>
  <c r="C119" i="1"/>
  <c r="F119" i="1"/>
  <c r="G119" i="1"/>
  <c r="C118" i="1"/>
  <c r="F118" i="1"/>
  <c r="G118" i="1"/>
  <c r="C117" i="1"/>
  <c r="F117" i="1"/>
  <c r="G117" i="1"/>
  <c r="C116" i="1"/>
  <c r="F116" i="1"/>
  <c r="G116" i="1"/>
  <c r="C115" i="1"/>
  <c r="F115" i="1"/>
  <c r="G115" i="1"/>
  <c r="C114" i="1"/>
  <c r="F114" i="1"/>
  <c r="G114" i="1"/>
  <c r="C113" i="1"/>
  <c r="F113" i="1"/>
  <c r="G113" i="1"/>
  <c r="C112" i="1"/>
  <c r="F112" i="1"/>
  <c r="G112" i="1"/>
  <c r="C111" i="1"/>
  <c r="F111" i="1"/>
  <c r="G111" i="1"/>
  <c r="C110" i="1"/>
  <c r="F110" i="1"/>
  <c r="G110" i="1"/>
  <c r="C109" i="1"/>
  <c r="F109" i="1"/>
  <c r="G109" i="1"/>
  <c r="C108" i="1"/>
  <c r="F108" i="1"/>
  <c r="G108" i="1"/>
  <c r="C107" i="1"/>
  <c r="F107" i="1"/>
  <c r="G107" i="1"/>
  <c r="C106" i="1"/>
  <c r="F106" i="1"/>
  <c r="G106" i="1"/>
  <c r="C105" i="1"/>
  <c r="F105" i="1"/>
  <c r="G105" i="1"/>
  <c r="C104" i="1"/>
  <c r="F104" i="1"/>
  <c r="G104" i="1"/>
  <c r="C103" i="1"/>
  <c r="F103" i="1"/>
  <c r="G103" i="1"/>
  <c r="C102" i="1"/>
  <c r="F102" i="1"/>
  <c r="G102" i="1"/>
  <c r="C101" i="1"/>
  <c r="F101" i="1"/>
  <c r="G101" i="1"/>
  <c r="C100" i="1"/>
  <c r="F100" i="1"/>
  <c r="G100" i="1"/>
  <c r="C99" i="1"/>
  <c r="F99" i="1"/>
  <c r="G99" i="1"/>
  <c r="C98" i="1"/>
  <c r="F98" i="1"/>
  <c r="G98" i="1"/>
  <c r="C97" i="1"/>
  <c r="F97" i="1"/>
  <c r="G97" i="1"/>
  <c r="C96" i="1"/>
  <c r="F96" i="1"/>
  <c r="G96" i="1"/>
  <c r="C95" i="1"/>
  <c r="F95" i="1"/>
  <c r="G95" i="1"/>
  <c r="C94" i="1"/>
  <c r="F94" i="1"/>
  <c r="G94" i="1"/>
  <c r="C93" i="1"/>
  <c r="F93" i="1"/>
  <c r="G93" i="1"/>
  <c r="C92" i="1"/>
  <c r="F92" i="1"/>
  <c r="G92" i="1"/>
  <c r="C91" i="1"/>
  <c r="F91" i="1"/>
  <c r="G91" i="1"/>
  <c r="C90" i="1"/>
  <c r="F90" i="1"/>
  <c r="G90" i="1"/>
  <c r="C89" i="1"/>
  <c r="F89" i="1"/>
  <c r="G89" i="1"/>
  <c r="C88" i="1"/>
  <c r="F88" i="1"/>
  <c r="G88" i="1"/>
  <c r="C87" i="1"/>
  <c r="F87" i="1"/>
  <c r="G87" i="1"/>
  <c r="C86" i="1"/>
  <c r="F86" i="1"/>
  <c r="G86" i="1"/>
  <c r="C85" i="1"/>
  <c r="F85" i="1"/>
  <c r="G85" i="1"/>
  <c r="C84" i="1"/>
  <c r="F84" i="1"/>
  <c r="G84" i="1"/>
  <c r="C83" i="1"/>
  <c r="F83" i="1"/>
  <c r="G83" i="1"/>
  <c r="C82" i="1"/>
  <c r="F82" i="1"/>
  <c r="G82" i="1"/>
  <c r="C81" i="1"/>
  <c r="F81" i="1"/>
  <c r="G81" i="1"/>
  <c r="C80" i="1"/>
  <c r="F80" i="1"/>
  <c r="G80" i="1"/>
  <c r="C79" i="1"/>
  <c r="F79" i="1"/>
  <c r="G79" i="1"/>
  <c r="C78" i="1"/>
  <c r="F78" i="1"/>
  <c r="G78" i="1"/>
  <c r="C77" i="1"/>
  <c r="F77" i="1"/>
  <c r="G77" i="1"/>
  <c r="C76" i="1"/>
  <c r="F76" i="1"/>
  <c r="G76" i="1"/>
  <c r="C75" i="1"/>
  <c r="F75" i="1"/>
  <c r="G75" i="1"/>
  <c r="C74" i="1"/>
  <c r="F74" i="1"/>
  <c r="G74" i="1"/>
  <c r="C73" i="1"/>
  <c r="F73" i="1"/>
  <c r="G73" i="1"/>
  <c r="C72" i="1"/>
  <c r="F72" i="1"/>
  <c r="G72" i="1"/>
  <c r="C71" i="1"/>
  <c r="F71" i="1"/>
  <c r="G71" i="1"/>
  <c r="C70" i="1"/>
  <c r="F70" i="1"/>
  <c r="G70" i="1"/>
  <c r="C69" i="1"/>
  <c r="F69" i="1"/>
  <c r="G69" i="1"/>
  <c r="C68" i="1"/>
  <c r="F68" i="1"/>
  <c r="G68" i="1"/>
  <c r="C67" i="1"/>
  <c r="F67" i="1"/>
  <c r="G67" i="1"/>
  <c r="C66" i="1"/>
  <c r="F66" i="1"/>
  <c r="G66" i="1"/>
  <c r="C65" i="1"/>
  <c r="F65" i="1"/>
  <c r="G65" i="1"/>
  <c r="C64" i="1"/>
  <c r="F64" i="1"/>
  <c r="G64" i="1"/>
  <c r="C63" i="1"/>
  <c r="F63" i="1"/>
  <c r="G63" i="1"/>
  <c r="C62" i="1"/>
  <c r="F62" i="1"/>
  <c r="G62" i="1"/>
  <c r="C61" i="1"/>
  <c r="F61" i="1"/>
  <c r="G61" i="1"/>
  <c r="C60" i="1"/>
  <c r="F60" i="1"/>
  <c r="G60" i="1"/>
  <c r="C59" i="1"/>
  <c r="F59" i="1"/>
  <c r="G59" i="1"/>
  <c r="C58" i="1"/>
  <c r="F58" i="1"/>
  <c r="G58" i="1"/>
  <c r="C57" i="1"/>
  <c r="F57" i="1"/>
  <c r="G57" i="1"/>
  <c r="C56" i="1"/>
  <c r="F56" i="1"/>
  <c r="G56" i="1"/>
  <c r="C55" i="1"/>
  <c r="F55" i="1"/>
  <c r="G55" i="1"/>
  <c r="C54" i="1"/>
  <c r="F54" i="1"/>
  <c r="G54" i="1"/>
  <c r="C53" i="1"/>
  <c r="F53" i="1"/>
  <c r="G53" i="1"/>
  <c r="C52" i="1"/>
  <c r="F52" i="1"/>
  <c r="G52" i="1"/>
  <c r="C51" i="1"/>
  <c r="F51" i="1"/>
  <c r="G51" i="1"/>
  <c r="C50" i="1"/>
  <c r="F50" i="1"/>
  <c r="G50" i="1"/>
  <c r="C49" i="1"/>
  <c r="F49" i="1"/>
  <c r="G49" i="1"/>
  <c r="C48" i="1"/>
  <c r="F48" i="1"/>
  <c r="G48" i="1"/>
  <c r="C47" i="1"/>
  <c r="F47" i="1"/>
  <c r="G47" i="1"/>
  <c r="C46" i="1"/>
  <c r="F46" i="1"/>
  <c r="G46" i="1"/>
  <c r="C45" i="1"/>
  <c r="F45" i="1"/>
  <c r="G45" i="1"/>
  <c r="C44" i="1"/>
  <c r="F44" i="1"/>
  <c r="G44" i="1"/>
  <c r="C43" i="1"/>
  <c r="F43" i="1"/>
  <c r="G43" i="1"/>
  <c r="C42" i="1"/>
  <c r="F42" i="1"/>
  <c r="G42" i="1"/>
  <c r="C41" i="1"/>
  <c r="F41" i="1"/>
  <c r="G41" i="1"/>
  <c r="C40" i="1"/>
  <c r="F40" i="1"/>
  <c r="G40" i="1"/>
  <c r="C39" i="1"/>
  <c r="F39" i="1"/>
  <c r="G39" i="1"/>
  <c r="C38" i="1"/>
  <c r="F38" i="1"/>
  <c r="G38" i="1"/>
  <c r="C37" i="1"/>
  <c r="F37" i="1"/>
  <c r="G37" i="1"/>
  <c r="C36" i="1"/>
  <c r="F36" i="1"/>
  <c r="G36" i="1"/>
  <c r="C35" i="1"/>
  <c r="F35" i="1"/>
  <c r="G35" i="1"/>
  <c r="C34" i="1"/>
  <c r="F34" i="1"/>
  <c r="G34" i="1"/>
  <c r="C33" i="1"/>
  <c r="F33" i="1"/>
  <c r="G33" i="1"/>
  <c r="C32" i="1"/>
  <c r="F32" i="1"/>
  <c r="G32" i="1"/>
  <c r="C31" i="1"/>
  <c r="F31" i="1"/>
  <c r="G31" i="1"/>
  <c r="C30" i="1"/>
  <c r="F30" i="1"/>
  <c r="G30" i="1"/>
  <c r="C29" i="1"/>
  <c r="F29" i="1"/>
  <c r="G29" i="1"/>
  <c r="C28" i="1"/>
  <c r="F28" i="1"/>
  <c r="G28" i="1"/>
  <c r="C27" i="1"/>
  <c r="F27" i="1"/>
  <c r="G27" i="1"/>
  <c r="C26" i="1"/>
  <c r="F26" i="1"/>
  <c r="G26" i="1"/>
  <c r="C25" i="1"/>
  <c r="F25" i="1"/>
  <c r="G25" i="1"/>
  <c r="C24" i="1"/>
  <c r="F24" i="1"/>
  <c r="G24" i="1"/>
  <c r="C23" i="1"/>
  <c r="F23" i="1"/>
  <c r="G23" i="1"/>
  <c r="C22" i="1"/>
  <c r="F22" i="1"/>
  <c r="G22" i="1"/>
  <c r="C21" i="1"/>
  <c r="F21" i="1"/>
  <c r="G21" i="1"/>
  <c r="C20" i="1"/>
  <c r="F20" i="1"/>
  <c r="G20" i="1"/>
  <c r="C19" i="1"/>
  <c r="F19" i="1"/>
  <c r="G19" i="1"/>
  <c r="C18" i="1"/>
  <c r="F18" i="1"/>
  <c r="G18" i="1"/>
  <c r="C17" i="1"/>
  <c r="F17" i="1"/>
  <c r="G17" i="1"/>
  <c r="C16" i="1"/>
  <c r="F16" i="1"/>
  <c r="G16" i="1"/>
  <c r="C15" i="1"/>
  <c r="F15" i="1"/>
  <c r="G15" i="1"/>
  <c r="C14" i="1"/>
  <c r="F14" i="1"/>
  <c r="G14" i="1"/>
  <c r="C13" i="1"/>
  <c r="F13" i="1"/>
  <c r="G13" i="1"/>
  <c r="C12" i="1"/>
  <c r="F12" i="1"/>
  <c r="G12" i="1"/>
  <c r="C11" i="1"/>
  <c r="F11" i="1"/>
  <c r="G11" i="1"/>
  <c r="C10" i="1"/>
  <c r="F10" i="1"/>
  <c r="G10" i="1"/>
  <c r="C9" i="1"/>
  <c r="F9" i="1"/>
  <c r="G9" i="1"/>
  <c r="C8" i="1"/>
  <c r="F8" i="1"/>
  <c r="G8" i="1"/>
  <c r="C7" i="1"/>
  <c r="F7" i="1"/>
  <c r="G7" i="1"/>
  <c r="C6" i="1"/>
  <c r="F6" i="1"/>
  <c r="G6" i="1"/>
  <c r="C5" i="1"/>
  <c r="F5" i="1"/>
  <c r="G5" i="1"/>
  <c r="C4" i="1"/>
  <c r="F4" i="1"/>
  <c r="G4" i="1"/>
  <c r="C3" i="1"/>
  <c r="F3" i="1"/>
  <c r="G3" i="1"/>
  <c r="C2" i="1"/>
  <c r="F2" i="1"/>
  <c r="G2" i="1"/>
  <c r="L553" i="1"/>
  <c r="K553" i="1"/>
  <c r="L552" i="1"/>
  <c r="K552" i="1"/>
  <c r="L551" i="1"/>
  <c r="K551" i="1"/>
  <c r="L550" i="1"/>
  <c r="K550" i="1"/>
  <c r="L549" i="1"/>
  <c r="K549" i="1"/>
  <c r="L548" i="1"/>
  <c r="K548" i="1"/>
  <c r="L547" i="1"/>
  <c r="K547" i="1"/>
  <c r="L546" i="1"/>
  <c r="K546" i="1"/>
  <c r="L545" i="1"/>
  <c r="K545" i="1"/>
  <c r="L544" i="1"/>
  <c r="K544" i="1"/>
  <c r="L543" i="1"/>
  <c r="K543" i="1"/>
  <c r="L542" i="1"/>
  <c r="K542" i="1"/>
  <c r="L541" i="1"/>
  <c r="K541" i="1"/>
  <c r="L540" i="1"/>
  <c r="K540" i="1"/>
  <c r="L539" i="1"/>
  <c r="K539" i="1"/>
  <c r="L538" i="1"/>
  <c r="K538" i="1"/>
  <c r="L537" i="1"/>
  <c r="K537" i="1"/>
  <c r="L536" i="1"/>
  <c r="K536" i="1"/>
  <c r="L535" i="1"/>
  <c r="K535" i="1"/>
  <c r="L534" i="1"/>
  <c r="K534" i="1"/>
  <c r="L533" i="1"/>
  <c r="K533" i="1"/>
  <c r="L532" i="1"/>
  <c r="K532" i="1"/>
  <c r="L531" i="1"/>
  <c r="K531" i="1"/>
  <c r="L530" i="1"/>
  <c r="K530" i="1"/>
  <c r="L529" i="1"/>
  <c r="K529" i="1"/>
  <c r="L528" i="1"/>
  <c r="K528" i="1"/>
  <c r="L527" i="1"/>
  <c r="K527" i="1"/>
  <c r="L526" i="1"/>
  <c r="K526" i="1"/>
  <c r="L525" i="1"/>
  <c r="K525" i="1"/>
  <c r="L524" i="1"/>
  <c r="K524" i="1"/>
  <c r="L523" i="1"/>
  <c r="K523" i="1"/>
  <c r="L522" i="1"/>
  <c r="K522" i="1"/>
  <c r="L521" i="1"/>
  <c r="K521" i="1"/>
  <c r="L520" i="1"/>
  <c r="K520" i="1"/>
  <c r="L519" i="1"/>
  <c r="K519" i="1"/>
  <c r="L518" i="1"/>
  <c r="K518" i="1"/>
  <c r="L517" i="1"/>
  <c r="K517" i="1"/>
  <c r="L516" i="1"/>
  <c r="K516" i="1"/>
  <c r="L515" i="1"/>
  <c r="K515" i="1"/>
  <c r="L514" i="1"/>
  <c r="K514" i="1"/>
  <c r="L513" i="1"/>
  <c r="K513" i="1"/>
  <c r="L512" i="1"/>
  <c r="K512" i="1"/>
  <c r="L511" i="1"/>
  <c r="K511" i="1"/>
  <c r="L510" i="1"/>
  <c r="K510" i="1"/>
  <c r="L509" i="1"/>
  <c r="K509" i="1"/>
  <c r="L508" i="1"/>
  <c r="K508" i="1"/>
  <c r="L507" i="1"/>
  <c r="K507" i="1"/>
  <c r="L506" i="1"/>
  <c r="K506" i="1"/>
  <c r="L505" i="1"/>
  <c r="K505" i="1"/>
  <c r="L504" i="1"/>
  <c r="K504" i="1"/>
  <c r="L503" i="1"/>
  <c r="K503" i="1"/>
  <c r="L502" i="1"/>
  <c r="K502" i="1"/>
  <c r="L501" i="1"/>
  <c r="K501" i="1"/>
  <c r="L500" i="1"/>
  <c r="K500" i="1"/>
  <c r="L499" i="1"/>
  <c r="K499" i="1"/>
  <c r="L498" i="1"/>
  <c r="K498" i="1"/>
  <c r="L497" i="1"/>
  <c r="K497" i="1"/>
  <c r="L496" i="1"/>
  <c r="K496" i="1"/>
  <c r="L495" i="1"/>
  <c r="K495" i="1"/>
  <c r="L494" i="1"/>
  <c r="K494" i="1"/>
  <c r="L493" i="1"/>
  <c r="K493" i="1"/>
  <c r="L492" i="1"/>
  <c r="K492" i="1"/>
  <c r="L491" i="1"/>
  <c r="K491" i="1"/>
  <c r="L490" i="1"/>
  <c r="K490" i="1"/>
  <c r="L489" i="1"/>
  <c r="K489" i="1"/>
  <c r="L488" i="1"/>
  <c r="K488" i="1"/>
  <c r="L487" i="1"/>
  <c r="K487" i="1"/>
  <c r="L486" i="1"/>
  <c r="K486" i="1"/>
  <c r="L485" i="1"/>
  <c r="K485" i="1"/>
  <c r="L484" i="1"/>
  <c r="K484" i="1"/>
  <c r="L483" i="1"/>
  <c r="K483" i="1"/>
  <c r="L482" i="1"/>
  <c r="K482" i="1"/>
  <c r="L481" i="1"/>
  <c r="K481" i="1"/>
  <c r="L480" i="1"/>
  <c r="K480" i="1"/>
  <c r="L479" i="1"/>
  <c r="K479" i="1"/>
  <c r="L478" i="1"/>
  <c r="K478" i="1"/>
  <c r="L477" i="1"/>
  <c r="K477" i="1"/>
  <c r="L476" i="1"/>
  <c r="K476" i="1"/>
  <c r="L475" i="1"/>
  <c r="K475" i="1"/>
  <c r="L474" i="1"/>
  <c r="K474" i="1"/>
  <c r="L473" i="1"/>
  <c r="K473" i="1"/>
  <c r="L472" i="1"/>
  <c r="K472" i="1"/>
  <c r="L471" i="1"/>
  <c r="K471" i="1"/>
  <c r="L470" i="1"/>
  <c r="K470" i="1"/>
  <c r="L469" i="1"/>
  <c r="K469" i="1"/>
  <c r="L468" i="1"/>
  <c r="K468" i="1"/>
  <c r="L467" i="1"/>
  <c r="K467" i="1"/>
  <c r="L466" i="1"/>
  <c r="K466" i="1"/>
  <c r="L465" i="1"/>
  <c r="K465" i="1"/>
  <c r="L464" i="1"/>
  <c r="K464" i="1"/>
  <c r="L463" i="1"/>
  <c r="K463" i="1"/>
  <c r="L462" i="1"/>
  <c r="K462" i="1"/>
  <c r="L461" i="1"/>
  <c r="K461" i="1"/>
  <c r="L460" i="1"/>
  <c r="K460" i="1"/>
  <c r="L459" i="1"/>
  <c r="K459" i="1"/>
  <c r="L458" i="1"/>
  <c r="K458" i="1"/>
  <c r="L457" i="1"/>
  <c r="K457" i="1"/>
  <c r="L456" i="1"/>
  <c r="K456" i="1"/>
  <c r="L455" i="1"/>
  <c r="K455" i="1"/>
  <c r="L454" i="1"/>
  <c r="K454" i="1"/>
  <c r="L453" i="1"/>
  <c r="K453" i="1"/>
  <c r="L452" i="1"/>
  <c r="K452" i="1"/>
  <c r="L451" i="1"/>
  <c r="K451" i="1"/>
  <c r="L450" i="1"/>
  <c r="K450" i="1"/>
  <c r="L449" i="1"/>
  <c r="K449" i="1"/>
  <c r="L448" i="1"/>
  <c r="K448" i="1"/>
  <c r="L447" i="1"/>
  <c r="K447" i="1"/>
  <c r="L446" i="1"/>
  <c r="K446" i="1"/>
  <c r="L445" i="1"/>
  <c r="K445" i="1"/>
  <c r="L444" i="1"/>
  <c r="K444" i="1"/>
  <c r="L443" i="1"/>
  <c r="K443" i="1"/>
  <c r="L442" i="1"/>
  <c r="K442" i="1"/>
  <c r="L441" i="1"/>
  <c r="K441" i="1"/>
  <c r="L440" i="1"/>
  <c r="K440" i="1"/>
  <c r="L439" i="1"/>
  <c r="K439" i="1"/>
  <c r="L438" i="1"/>
  <c r="K438" i="1"/>
  <c r="L437" i="1"/>
  <c r="K437" i="1"/>
  <c r="L436" i="1"/>
  <c r="K436" i="1"/>
  <c r="L435" i="1"/>
  <c r="K435" i="1"/>
  <c r="L434" i="1"/>
  <c r="K434" i="1"/>
  <c r="L433" i="1"/>
  <c r="K433" i="1"/>
  <c r="L432" i="1"/>
  <c r="K432" i="1"/>
  <c r="L431" i="1"/>
  <c r="K431" i="1"/>
  <c r="L430" i="1"/>
  <c r="K430" i="1"/>
  <c r="L429" i="1"/>
  <c r="K429" i="1"/>
  <c r="L428" i="1"/>
  <c r="K428" i="1"/>
  <c r="L427" i="1"/>
  <c r="K427" i="1"/>
  <c r="L426" i="1"/>
  <c r="K426" i="1"/>
  <c r="J553" i="1"/>
  <c r="J552" i="1"/>
  <c r="J551" i="1"/>
  <c r="J550" i="1"/>
  <c r="J549" i="1"/>
  <c r="J548" i="1"/>
  <c r="J547" i="1"/>
  <c r="J546" i="1"/>
  <c r="J545" i="1"/>
  <c r="J544" i="1"/>
  <c r="J543" i="1"/>
  <c r="J542" i="1"/>
  <c r="J541" i="1"/>
  <c r="J540" i="1"/>
  <c r="J539" i="1"/>
  <c r="J538" i="1"/>
  <c r="J537" i="1"/>
  <c r="J536" i="1"/>
  <c r="J535" i="1"/>
  <c r="J534" i="1"/>
  <c r="J533" i="1"/>
  <c r="J532" i="1"/>
  <c r="J531" i="1"/>
  <c r="J530" i="1"/>
  <c r="J529" i="1"/>
  <c r="J528" i="1"/>
  <c r="J527" i="1"/>
  <c r="J526" i="1"/>
  <c r="J525" i="1"/>
  <c r="J524" i="1"/>
  <c r="J523" i="1"/>
  <c r="J522" i="1"/>
  <c r="J521" i="1"/>
  <c r="J520" i="1"/>
  <c r="J519" i="1"/>
  <c r="J518" i="1"/>
  <c r="J517" i="1"/>
  <c r="J516" i="1"/>
  <c r="J515" i="1"/>
  <c r="J514" i="1"/>
  <c r="J513" i="1"/>
  <c r="J512" i="1"/>
  <c r="J511" i="1"/>
  <c r="J510" i="1"/>
  <c r="J509" i="1"/>
  <c r="J508" i="1"/>
  <c r="J507" i="1"/>
  <c r="J506" i="1"/>
  <c r="J505" i="1"/>
  <c r="J504" i="1"/>
  <c r="J503" i="1"/>
  <c r="J502" i="1"/>
  <c r="J501" i="1"/>
  <c r="J500" i="1"/>
  <c r="J499" i="1"/>
  <c r="J498" i="1"/>
  <c r="J497" i="1"/>
  <c r="J496" i="1"/>
  <c r="J495" i="1"/>
  <c r="J494" i="1"/>
  <c r="J493" i="1"/>
  <c r="J492" i="1"/>
  <c r="J491" i="1"/>
  <c r="J490" i="1"/>
  <c r="J489" i="1"/>
  <c r="J488" i="1"/>
  <c r="J487" i="1"/>
  <c r="J486" i="1"/>
  <c r="J485" i="1"/>
  <c r="J484" i="1"/>
  <c r="J483" i="1"/>
  <c r="J482" i="1"/>
  <c r="J481" i="1"/>
  <c r="J480" i="1"/>
  <c r="J479" i="1"/>
  <c r="J478" i="1"/>
  <c r="J477" i="1"/>
  <c r="J476" i="1"/>
  <c r="J475" i="1"/>
  <c r="J474" i="1"/>
  <c r="J473" i="1"/>
  <c r="J472" i="1"/>
  <c r="J471" i="1"/>
  <c r="J470" i="1"/>
  <c r="J469" i="1"/>
  <c r="J468" i="1"/>
  <c r="J467" i="1"/>
  <c r="J466" i="1"/>
  <c r="J465" i="1"/>
  <c r="J464" i="1"/>
  <c r="J463" i="1"/>
  <c r="J462" i="1"/>
  <c r="J461" i="1"/>
  <c r="J460" i="1"/>
  <c r="J459" i="1"/>
  <c r="J458" i="1"/>
  <c r="J457" i="1"/>
  <c r="J456" i="1"/>
  <c r="J455" i="1"/>
  <c r="J454" i="1"/>
  <c r="J453" i="1"/>
  <c r="J452" i="1"/>
  <c r="J451" i="1"/>
  <c r="J450" i="1"/>
  <c r="J449" i="1"/>
  <c r="J448" i="1"/>
  <c r="J447" i="1"/>
  <c r="J446" i="1"/>
  <c r="J445" i="1"/>
  <c r="J444" i="1"/>
  <c r="J443" i="1"/>
  <c r="J442" i="1"/>
  <c r="J441" i="1"/>
  <c r="J440" i="1"/>
  <c r="J439" i="1"/>
  <c r="J438" i="1"/>
  <c r="J437" i="1"/>
  <c r="J436" i="1"/>
  <c r="J435" i="1"/>
  <c r="J434" i="1"/>
  <c r="J433" i="1"/>
  <c r="J432" i="1"/>
  <c r="J431" i="1"/>
  <c r="J430" i="1"/>
  <c r="J429" i="1"/>
  <c r="J428" i="1"/>
  <c r="J427" i="1"/>
  <c r="J426" i="1"/>
  <c r="U553" i="1"/>
  <c r="T553" i="1"/>
  <c r="U552" i="1"/>
  <c r="T552" i="1"/>
  <c r="U551" i="1"/>
  <c r="T551" i="1"/>
  <c r="U550" i="1"/>
  <c r="T550" i="1"/>
  <c r="U549" i="1"/>
  <c r="T549" i="1"/>
  <c r="U548" i="1"/>
  <c r="T548" i="1"/>
  <c r="U547" i="1"/>
  <c r="T547" i="1"/>
  <c r="U546" i="1"/>
  <c r="T546" i="1"/>
  <c r="U545" i="1"/>
  <c r="T545" i="1"/>
  <c r="U544" i="1"/>
  <c r="T544" i="1"/>
  <c r="U543" i="1"/>
  <c r="T543" i="1"/>
  <c r="U542" i="1"/>
  <c r="T542" i="1"/>
  <c r="U541" i="1"/>
  <c r="T541" i="1"/>
  <c r="U540" i="1"/>
  <c r="T540" i="1"/>
  <c r="U539" i="1"/>
  <c r="T539" i="1"/>
  <c r="U538" i="1"/>
  <c r="T538" i="1"/>
  <c r="U537" i="1"/>
  <c r="T537" i="1"/>
  <c r="U536" i="1"/>
  <c r="T536" i="1"/>
  <c r="U535" i="1"/>
  <c r="T535" i="1"/>
  <c r="U534" i="1"/>
  <c r="T534" i="1"/>
  <c r="U533" i="1"/>
  <c r="T533" i="1"/>
  <c r="U532" i="1"/>
  <c r="T532" i="1"/>
  <c r="U531" i="1"/>
  <c r="T531" i="1"/>
  <c r="U530" i="1"/>
  <c r="T530" i="1"/>
  <c r="U529" i="1"/>
  <c r="T529" i="1"/>
  <c r="U528" i="1"/>
  <c r="T528" i="1"/>
  <c r="U527" i="1"/>
  <c r="T527" i="1"/>
  <c r="U526" i="1"/>
  <c r="T526" i="1"/>
  <c r="U525" i="1"/>
  <c r="T525" i="1"/>
  <c r="U524" i="1"/>
  <c r="T524" i="1"/>
  <c r="U523" i="1"/>
  <c r="T523" i="1"/>
  <c r="U522" i="1"/>
  <c r="T522" i="1"/>
  <c r="U521" i="1"/>
  <c r="T521" i="1"/>
  <c r="U520" i="1"/>
  <c r="T520" i="1"/>
  <c r="U519" i="1"/>
  <c r="T519" i="1"/>
  <c r="U518" i="1"/>
  <c r="T518" i="1"/>
  <c r="U517" i="1"/>
  <c r="T517" i="1"/>
  <c r="U516" i="1"/>
  <c r="T516" i="1"/>
  <c r="U515" i="1"/>
  <c r="T515" i="1"/>
  <c r="U514" i="1"/>
  <c r="T514" i="1"/>
  <c r="U513" i="1"/>
  <c r="T513" i="1"/>
  <c r="U512" i="1"/>
  <c r="T512" i="1"/>
  <c r="U511" i="1"/>
  <c r="T511" i="1"/>
  <c r="U510" i="1"/>
  <c r="T510" i="1"/>
  <c r="U509" i="1"/>
  <c r="T509" i="1"/>
  <c r="U508" i="1"/>
  <c r="T508" i="1"/>
  <c r="U507" i="1"/>
  <c r="T507" i="1"/>
  <c r="U506" i="1"/>
  <c r="T506" i="1"/>
  <c r="U505" i="1"/>
  <c r="T505" i="1"/>
  <c r="U504" i="1"/>
  <c r="T504" i="1"/>
  <c r="U503" i="1"/>
  <c r="T503" i="1"/>
  <c r="U502" i="1"/>
  <c r="T502" i="1"/>
  <c r="U501" i="1"/>
  <c r="T501" i="1"/>
  <c r="U500" i="1"/>
  <c r="T500" i="1"/>
  <c r="U499" i="1"/>
  <c r="T499" i="1"/>
  <c r="U498" i="1"/>
  <c r="T498" i="1"/>
  <c r="U497" i="1"/>
  <c r="T497" i="1"/>
  <c r="U496" i="1"/>
  <c r="T496" i="1"/>
  <c r="U495" i="1"/>
  <c r="T495" i="1"/>
  <c r="U494" i="1"/>
  <c r="T494" i="1"/>
  <c r="U493" i="1"/>
  <c r="T493" i="1"/>
  <c r="U492" i="1"/>
  <c r="T492" i="1"/>
  <c r="U491" i="1"/>
  <c r="T491" i="1"/>
  <c r="U490" i="1"/>
  <c r="T490" i="1"/>
  <c r="U489" i="1"/>
  <c r="T489" i="1"/>
  <c r="U488" i="1"/>
  <c r="T488" i="1"/>
  <c r="U487" i="1"/>
  <c r="T487" i="1"/>
  <c r="U486" i="1"/>
  <c r="T486" i="1"/>
  <c r="U485" i="1"/>
  <c r="T485" i="1"/>
  <c r="U484" i="1"/>
  <c r="T484" i="1"/>
  <c r="U483" i="1"/>
  <c r="T483" i="1"/>
  <c r="U482" i="1"/>
  <c r="T482" i="1"/>
  <c r="U481" i="1"/>
  <c r="T481" i="1"/>
  <c r="U480" i="1"/>
  <c r="T480" i="1"/>
  <c r="U479" i="1"/>
  <c r="T479" i="1"/>
  <c r="U478" i="1"/>
  <c r="T478" i="1"/>
  <c r="U477" i="1"/>
  <c r="T477" i="1"/>
  <c r="U476" i="1"/>
  <c r="T476" i="1"/>
  <c r="U475" i="1"/>
  <c r="T475" i="1"/>
  <c r="U474" i="1"/>
  <c r="T474" i="1"/>
  <c r="U473" i="1"/>
  <c r="T473" i="1"/>
  <c r="U472" i="1"/>
  <c r="T472" i="1"/>
  <c r="U471" i="1"/>
  <c r="T471" i="1"/>
  <c r="U470" i="1"/>
  <c r="T470" i="1"/>
  <c r="U469" i="1"/>
  <c r="T469" i="1"/>
  <c r="U468" i="1"/>
  <c r="T468" i="1"/>
  <c r="U467" i="1"/>
  <c r="T467" i="1"/>
  <c r="U466" i="1"/>
  <c r="T466" i="1"/>
  <c r="U465" i="1"/>
  <c r="T465" i="1"/>
  <c r="U464" i="1"/>
  <c r="T464" i="1"/>
  <c r="U463" i="1"/>
  <c r="T463" i="1"/>
  <c r="U462" i="1"/>
  <c r="T462" i="1"/>
  <c r="U461" i="1"/>
  <c r="T461" i="1"/>
  <c r="U460" i="1"/>
  <c r="T460" i="1"/>
  <c r="U459" i="1"/>
  <c r="T459" i="1"/>
  <c r="U458" i="1"/>
  <c r="T458" i="1"/>
  <c r="U457" i="1"/>
  <c r="T457" i="1"/>
  <c r="U456" i="1"/>
  <c r="T456" i="1"/>
  <c r="U455" i="1"/>
  <c r="T455" i="1"/>
  <c r="U454" i="1"/>
  <c r="T454" i="1"/>
  <c r="U453" i="1"/>
  <c r="T453" i="1"/>
  <c r="U452" i="1"/>
  <c r="T452" i="1"/>
  <c r="U451" i="1"/>
  <c r="T451" i="1"/>
  <c r="U450" i="1"/>
  <c r="T450" i="1"/>
  <c r="U449" i="1"/>
  <c r="T449" i="1"/>
  <c r="U448" i="1"/>
  <c r="T448" i="1"/>
  <c r="U447" i="1"/>
  <c r="T447" i="1"/>
  <c r="U446" i="1"/>
  <c r="T446" i="1"/>
  <c r="U445" i="1"/>
  <c r="T445" i="1"/>
  <c r="U444" i="1"/>
  <c r="T444" i="1"/>
  <c r="U443" i="1"/>
  <c r="T443" i="1"/>
  <c r="U442" i="1"/>
  <c r="T442" i="1"/>
  <c r="U441" i="1"/>
  <c r="T441" i="1"/>
  <c r="U440" i="1"/>
  <c r="T440" i="1"/>
  <c r="U439" i="1"/>
  <c r="T439" i="1"/>
  <c r="U438" i="1"/>
  <c r="T438" i="1"/>
  <c r="U437" i="1"/>
  <c r="T437" i="1"/>
  <c r="U436" i="1"/>
  <c r="T436" i="1"/>
  <c r="U435" i="1"/>
  <c r="T435" i="1"/>
  <c r="U434" i="1"/>
  <c r="T434" i="1"/>
  <c r="U433" i="1"/>
  <c r="T433" i="1"/>
  <c r="U432" i="1"/>
  <c r="T432" i="1"/>
  <c r="U431" i="1"/>
  <c r="T431" i="1"/>
  <c r="U430" i="1"/>
  <c r="T430" i="1"/>
  <c r="U429" i="1"/>
  <c r="T429" i="1"/>
  <c r="U428" i="1"/>
  <c r="T428" i="1"/>
  <c r="U427" i="1"/>
  <c r="T427" i="1"/>
  <c r="U426" i="1"/>
  <c r="T426" i="1"/>
  <c r="W553" i="1"/>
  <c r="V553" i="1"/>
  <c r="W552" i="1"/>
  <c r="V552" i="1"/>
  <c r="W551" i="1"/>
  <c r="V551" i="1"/>
  <c r="W550" i="1"/>
  <c r="V550" i="1"/>
  <c r="W549" i="1"/>
  <c r="V549" i="1"/>
  <c r="W548" i="1"/>
  <c r="V548" i="1"/>
  <c r="W547" i="1"/>
  <c r="V547" i="1"/>
  <c r="W546" i="1"/>
  <c r="V546" i="1"/>
  <c r="W545" i="1"/>
  <c r="V545" i="1"/>
  <c r="W544" i="1"/>
  <c r="V544" i="1"/>
  <c r="W543" i="1"/>
  <c r="V543" i="1"/>
  <c r="W542" i="1"/>
  <c r="V542" i="1"/>
  <c r="W541" i="1"/>
  <c r="V541" i="1"/>
  <c r="W540" i="1"/>
  <c r="V540" i="1"/>
  <c r="W539" i="1"/>
  <c r="V539" i="1"/>
  <c r="W538" i="1"/>
  <c r="V538" i="1"/>
  <c r="W537" i="1"/>
  <c r="V537" i="1"/>
  <c r="W536" i="1"/>
  <c r="V536" i="1"/>
  <c r="W535" i="1"/>
  <c r="V535" i="1"/>
  <c r="W534" i="1"/>
  <c r="V534" i="1"/>
  <c r="W533" i="1"/>
  <c r="V533" i="1"/>
  <c r="W532" i="1"/>
  <c r="V532" i="1"/>
  <c r="W531" i="1"/>
  <c r="V531" i="1"/>
  <c r="W530" i="1"/>
  <c r="V530" i="1"/>
  <c r="W529" i="1"/>
  <c r="V529" i="1"/>
  <c r="W528" i="1"/>
  <c r="V528" i="1"/>
  <c r="W527" i="1"/>
  <c r="V527" i="1"/>
  <c r="W526" i="1"/>
  <c r="V526" i="1"/>
  <c r="W525" i="1"/>
  <c r="V525" i="1"/>
  <c r="W524" i="1"/>
  <c r="V524" i="1"/>
  <c r="W523" i="1"/>
  <c r="V523" i="1"/>
  <c r="W522" i="1"/>
  <c r="V522" i="1"/>
  <c r="W521" i="1"/>
  <c r="V521" i="1"/>
  <c r="W520" i="1"/>
  <c r="V520" i="1"/>
  <c r="W519" i="1"/>
  <c r="V519" i="1"/>
  <c r="W518" i="1"/>
  <c r="V518" i="1"/>
  <c r="W517" i="1"/>
  <c r="V517" i="1"/>
  <c r="W516" i="1"/>
  <c r="V516" i="1"/>
  <c r="W515" i="1"/>
  <c r="V515" i="1"/>
  <c r="W514" i="1"/>
  <c r="V514" i="1"/>
  <c r="W513" i="1"/>
  <c r="V513" i="1"/>
  <c r="W512" i="1"/>
  <c r="V512" i="1"/>
  <c r="W511" i="1"/>
  <c r="V511" i="1"/>
  <c r="W510" i="1"/>
  <c r="V510" i="1"/>
  <c r="W509" i="1"/>
  <c r="V509" i="1"/>
  <c r="W508" i="1"/>
  <c r="V508" i="1"/>
  <c r="W507" i="1"/>
  <c r="V507" i="1"/>
  <c r="W506" i="1"/>
  <c r="V506" i="1"/>
  <c r="W505" i="1"/>
  <c r="V505" i="1"/>
  <c r="W504" i="1"/>
  <c r="V504" i="1"/>
  <c r="W503" i="1"/>
  <c r="V503" i="1"/>
  <c r="W502" i="1"/>
  <c r="V502" i="1"/>
  <c r="W501" i="1"/>
  <c r="V501" i="1"/>
  <c r="W500" i="1"/>
  <c r="V500" i="1"/>
  <c r="W499" i="1"/>
  <c r="V499" i="1"/>
  <c r="W498" i="1"/>
  <c r="V498" i="1"/>
  <c r="W497" i="1"/>
  <c r="V497" i="1"/>
  <c r="W496" i="1"/>
  <c r="V496" i="1"/>
  <c r="W495" i="1"/>
  <c r="V495" i="1"/>
  <c r="W494" i="1"/>
  <c r="V494" i="1"/>
  <c r="W493" i="1"/>
  <c r="V493" i="1"/>
  <c r="W492" i="1"/>
  <c r="V492" i="1"/>
  <c r="W491" i="1"/>
  <c r="V491" i="1"/>
  <c r="W490" i="1"/>
  <c r="V490" i="1"/>
  <c r="W489" i="1"/>
  <c r="V489" i="1"/>
  <c r="W488" i="1"/>
  <c r="V488" i="1"/>
  <c r="W487" i="1"/>
  <c r="V487" i="1"/>
  <c r="W486" i="1"/>
  <c r="V486" i="1"/>
  <c r="W485" i="1"/>
  <c r="V485" i="1"/>
  <c r="W484" i="1"/>
  <c r="V484" i="1"/>
  <c r="W483" i="1"/>
  <c r="V483" i="1"/>
  <c r="W482" i="1"/>
  <c r="V482" i="1"/>
  <c r="W481" i="1"/>
  <c r="V481" i="1"/>
  <c r="W480" i="1"/>
  <c r="V480" i="1"/>
  <c r="W479" i="1"/>
  <c r="V479" i="1"/>
  <c r="W478" i="1"/>
  <c r="V478" i="1"/>
  <c r="W477" i="1"/>
  <c r="V477" i="1"/>
  <c r="W476" i="1"/>
  <c r="V476" i="1"/>
  <c r="W475" i="1"/>
  <c r="V475" i="1"/>
  <c r="W474" i="1"/>
  <c r="V474" i="1"/>
  <c r="W473" i="1"/>
  <c r="V473" i="1"/>
  <c r="W472" i="1"/>
  <c r="V472" i="1"/>
  <c r="W471" i="1"/>
  <c r="V471" i="1"/>
  <c r="W470" i="1"/>
  <c r="V470" i="1"/>
  <c r="W469" i="1"/>
  <c r="V469" i="1"/>
  <c r="W468" i="1"/>
  <c r="V468" i="1"/>
  <c r="W467" i="1"/>
  <c r="V467" i="1"/>
  <c r="W466" i="1"/>
  <c r="V466" i="1"/>
  <c r="W465" i="1"/>
  <c r="V465" i="1"/>
  <c r="W464" i="1"/>
  <c r="V464" i="1"/>
  <c r="W463" i="1"/>
  <c r="V463" i="1"/>
  <c r="W462" i="1"/>
  <c r="V462" i="1"/>
  <c r="W461" i="1"/>
  <c r="V461" i="1"/>
  <c r="W460" i="1"/>
  <c r="V460" i="1"/>
  <c r="W459" i="1"/>
  <c r="V459" i="1"/>
  <c r="W458" i="1"/>
  <c r="V458" i="1"/>
  <c r="W457" i="1"/>
  <c r="V457" i="1"/>
  <c r="W456" i="1"/>
  <c r="V456" i="1"/>
  <c r="W455" i="1"/>
  <c r="V455" i="1"/>
  <c r="W454" i="1"/>
  <c r="V454" i="1"/>
  <c r="W453" i="1"/>
  <c r="V453" i="1"/>
  <c r="W452" i="1"/>
  <c r="V452" i="1"/>
  <c r="W451" i="1"/>
  <c r="V451" i="1"/>
  <c r="W450" i="1"/>
  <c r="V450" i="1"/>
  <c r="W449" i="1"/>
  <c r="V449" i="1"/>
  <c r="W448" i="1"/>
  <c r="V448" i="1"/>
  <c r="W447" i="1"/>
  <c r="V447" i="1"/>
  <c r="W446" i="1"/>
  <c r="V446" i="1"/>
  <c r="W445" i="1"/>
  <c r="V445" i="1"/>
  <c r="W444" i="1"/>
  <c r="V444" i="1"/>
  <c r="W443" i="1"/>
  <c r="V443" i="1"/>
  <c r="W442" i="1"/>
  <c r="V442" i="1"/>
  <c r="W441" i="1"/>
  <c r="V441" i="1"/>
  <c r="W440" i="1"/>
  <c r="V440" i="1"/>
  <c r="W439" i="1"/>
  <c r="V439" i="1"/>
  <c r="W438" i="1"/>
  <c r="V438" i="1"/>
  <c r="W437" i="1"/>
  <c r="V437" i="1"/>
  <c r="W436" i="1"/>
  <c r="V436" i="1"/>
  <c r="W435" i="1"/>
  <c r="V435" i="1"/>
  <c r="W434" i="1"/>
  <c r="V434" i="1"/>
  <c r="W433" i="1"/>
  <c r="V433" i="1"/>
  <c r="W432" i="1"/>
  <c r="V432" i="1"/>
  <c r="W431" i="1"/>
  <c r="V431" i="1"/>
  <c r="W430" i="1"/>
  <c r="V430" i="1"/>
  <c r="W429" i="1"/>
  <c r="V429" i="1"/>
  <c r="W428" i="1"/>
  <c r="V428" i="1"/>
  <c r="W427" i="1"/>
  <c r="V427" i="1"/>
  <c r="W426" i="1"/>
  <c r="V426" i="1"/>
  <c r="K425" i="1"/>
  <c r="K424" i="1"/>
  <c r="K423" i="1"/>
  <c r="K422" i="1"/>
  <c r="K421" i="1"/>
  <c r="K420" i="1"/>
  <c r="K419" i="1"/>
  <c r="K418" i="1"/>
  <c r="K417" i="1"/>
  <c r="K416" i="1"/>
  <c r="K415" i="1"/>
  <c r="K414" i="1"/>
  <c r="K413" i="1"/>
  <c r="K412" i="1"/>
  <c r="K411" i="1"/>
  <c r="K410" i="1"/>
  <c r="K409" i="1"/>
  <c r="K408" i="1"/>
  <c r="K407" i="1"/>
  <c r="K406" i="1"/>
  <c r="K405" i="1"/>
  <c r="K404" i="1"/>
  <c r="K403" i="1"/>
  <c r="K402" i="1"/>
  <c r="K401" i="1"/>
  <c r="K400" i="1"/>
  <c r="K399" i="1"/>
  <c r="K398" i="1"/>
  <c r="K397" i="1"/>
  <c r="K396" i="1"/>
  <c r="K395" i="1"/>
  <c r="K394" i="1"/>
  <c r="K393" i="1"/>
  <c r="K392" i="1"/>
  <c r="K391" i="1"/>
  <c r="K390" i="1"/>
  <c r="K389" i="1"/>
  <c r="K388" i="1"/>
  <c r="K387" i="1"/>
  <c r="K386" i="1"/>
  <c r="K385" i="1"/>
  <c r="K384" i="1"/>
  <c r="K383" i="1"/>
  <c r="K382" i="1"/>
  <c r="K381" i="1"/>
  <c r="K380" i="1"/>
  <c r="K379" i="1"/>
  <c r="K378" i="1"/>
  <c r="K377" i="1"/>
  <c r="K376" i="1"/>
  <c r="K375" i="1"/>
  <c r="K374" i="1"/>
  <c r="K373" i="1"/>
  <c r="K372" i="1"/>
  <c r="K371" i="1"/>
  <c r="K370" i="1"/>
  <c r="K369" i="1"/>
  <c r="K368" i="1"/>
  <c r="K367" i="1"/>
  <c r="K366" i="1"/>
  <c r="K365" i="1"/>
  <c r="K364" i="1"/>
  <c r="K363" i="1"/>
  <c r="K362" i="1"/>
  <c r="K361" i="1"/>
  <c r="K360" i="1"/>
  <c r="K359" i="1"/>
  <c r="K358" i="1"/>
  <c r="K357" i="1"/>
  <c r="K356" i="1"/>
  <c r="K355" i="1"/>
  <c r="K354" i="1"/>
  <c r="K353" i="1"/>
  <c r="K352" i="1"/>
  <c r="K351" i="1"/>
  <c r="K350" i="1"/>
  <c r="K349" i="1"/>
  <c r="K348" i="1"/>
  <c r="K347" i="1"/>
  <c r="K346" i="1"/>
  <c r="K345" i="1"/>
  <c r="K344" i="1"/>
  <c r="K343" i="1"/>
  <c r="K342" i="1"/>
  <c r="K341" i="1"/>
  <c r="K340" i="1"/>
  <c r="K339" i="1"/>
  <c r="K338" i="1"/>
  <c r="K337" i="1"/>
  <c r="K336" i="1"/>
  <c r="K335" i="1"/>
  <c r="K334" i="1"/>
  <c r="K333" i="1"/>
  <c r="K332" i="1"/>
  <c r="K331" i="1"/>
  <c r="K330" i="1"/>
  <c r="K329" i="1"/>
  <c r="K328" i="1"/>
  <c r="K327" i="1"/>
  <c r="K326" i="1"/>
  <c r="K325" i="1"/>
  <c r="K324" i="1"/>
  <c r="K323" i="1"/>
  <c r="K322" i="1"/>
  <c r="K321" i="1"/>
  <c r="K320" i="1"/>
  <c r="K319" i="1"/>
  <c r="K318" i="1"/>
  <c r="K317" i="1"/>
  <c r="K316" i="1"/>
  <c r="K315" i="1"/>
  <c r="K314" i="1"/>
  <c r="K313" i="1"/>
  <c r="K312" i="1"/>
  <c r="K311" i="1"/>
  <c r="K310" i="1"/>
  <c r="K309" i="1"/>
  <c r="K308" i="1"/>
  <c r="K307" i="1"/>
  <c r="K306" i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153" i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K3" i="1"/>
  <c r="K2" i="1"/>
  <c r="U425" i="1"/>
  <c r="U424" i="1"/>
  <c r="U423" i="1"/>
  <c r="U422" i="1"/>
  <c r="U421" i="1"/>
  <c r="U420" i="1"/>
  <c r="U419" i="1"/>
  <c r="U418" i="1"/>
  <c r="U417" i="1"/>
  <c r="U416" i="1"/>
  <c r="U415" i="1"/>
  <c r="U414" i="1"/>
  <c r="U413" i="1"/>
  <c r="U412" i="1"/>
  <c r="U411" i="1"/>
  <c r="U410" i="1"/>
  <c r="U409" i="1"/>
  <c r="U408" i="1"/>
  <c r="U407" i="1"/>
  <c r="U406" i="1"/>
  <c r="U405" i="1"/>
  <c r="U404" i="1"/>
  <c r="U403" i="1"/>
  <c r="U402" i="1"/>
  <c r="U401" i="1"/>
  <c r="U400" i="1"/>
  <c r="U399" i="1"/>
  <c r="U398" i="1"/>
  <c r="U397" i="1"/>
  <c r="U396" i="1"/>
  <c r="U395" i="1"/>
  <c r="U394" i="1"/>
  <c r="U393" i="1"/>
  <c r="U392" i="1"/>
  <c r="U391" i="1"/>
  <c r="U390" i="1"/>
  <c r="U389" i="1"/>
  <c r="U388" i="1"/>
  <c r="U387" i="1"/>
  <c r="U386" i="1"/>
  <c r="U385" i="1"/>
  <c r="U384" i="1"/>
  <c r="U383" i="1"/>
  <c r="U382" i="1"/>
  <c r="U381" i="1"/>
  <c r="U380" i="1"/>
  <c r="U379" i="1"/>
  <c r="U378" i="1"/>
  <c r="U377" i="1"/>
  <c r="U376" i="1"/>
  <c r="U375" i="1"/>
  <c r="U374" i="1"/>
  <c r="U373" i="1"/>
  <c r="U372" i="1"/>
  <c r="U371" i="1"/>
  <c r="U370" i="1"/>
  <c r="U369" i="1"/>
  <c r="U368" i="1"/>
  <c r="U367" i="1"/>
  <c r="U366" i="1"/>
  <c r="U365" i="1"/>
  <c r="U364" i="1"/>
  <c r="U363" i="1"/>
  <c r="U362" i="1"/>
  <c r="U361" i="1"/>
  <c r="U360" i="1"/>
  <c r="U359" i="1"/>
  <c r="U358" i="1"/>
  <c r="U357" i="1"/>
  <c r="U356" i="1"/>
  <c r="U355" i="1"/>
  <c r="U354" i="1"/>
  <c r="U353" i="1"/>
  <c r="U352" i="1"/>
  <c r="U351" i="1"/>
  <c r="U350" i="1"/>
  <c r="U349" i="1"/>
  <c r="U348" i="1"/>
  <c r="U347" i="1"/>
  <c r="U346" i="1"/>
  <c r="U345" i="1"/>
  <c r="U344" i="1"/>
  <c r="U343" i="1"/>
  <c r="U342" i="1"/>
  <c r="U341" i="1"/>
  <c r="U340" i="1"/>
  <c r="U339" i="1"/>
  <c r="U338" i="1"/>
  <c r="U337" i="1"/>
  <c r="U336" i="1"/>
  <c r="U335" i="1"/>
  <c r="U334" i="1"/>
  <c r="U333" i="1"/>
  <c r="U332" i="1"/>
  <c r="U331" i="1"/>
  <c r="U330" i="1"/>
  <c r="U329" i="1"/>
  <c r="U328" i="1"/>
  <c r="U327" i="1"/>
  <c r="U326" i="1"/>
  <c r="U325" i="1"/>
  <c r="U324" i="1"/>
  <c r="U323" i="1"/>
  <c r="U322" i="1"/>
  <c r="U321" i="1"/>
  <c r="U320" i="1"/>
  <c r="U319" i="1"/>
  <c r="U318" i="1"/>
  <c r="U317" i="1"/>
  <c r="U316" i="1"/>
  <c r="U315" i="1"/>
  <c r="U314" i="1"/>
  <c r="U313" i="1"/>
  <c r="U312" i="1"/>
  <c r="U311" i="1"/>
  <c r="U310" i="1"/>
  <c r="U309" i="1"/>
  <c r="U308" i="1"/>
  <c r="U307" i="1"/>
  <c r="U306" i="1"/>
  <c r="U305" i="1"/>
  <c r="U304" i="1"/>
  <c r="U303" i="1"/>
  <c r="U302" i="1"/>
  <c r="U301" i="1"/>
  <c r="U300" i="1"/>
  <c r="U299" i="1"/>
  <c r="U298" i="1"/>
  <c r="U297" i="1"/>
  <c r="U296" i="1"/>
  <c r="U295" i="1"/>
  <c r="U294" i="1"/>
  <c r="U293" i="1"/>
  <c r="U292" i="1"/>
  <c r="U291" i="1"/>
  <c r="U290" i="1"/>
  <c r="U289" i="1"/>
  <c r="U288" i="1"/>
  <c r="U287" i="1"/>
  <c r="U286" i="1"/>
  <c r="U285" i="1"/>
  <c r="U284" i="1"/>
  <c r="U283" i="1"/>
  <c r="U282" i="1"/>
  <c r="U281" i="1"/>
  <c r="U280" i="1"/>
  <c r="U279" i="1"/>
  <c r="U278" i="1"/>
  <c r="U277" i="1"/>
  <c r="U276" i="1"/>
  <c r="U275" i="1"/>
  <c r="U274" i="1"/>
  <c r="U273" i="1"/>
  <c r="U272" i="1"/>
  <c r="U271" i="1"/>
  <c r="U270" i="1"/>
  <c r="U269" i="1"/>
  <c r="U268" i="1"/>
  <c r="U267" i="1"/>
  <c r="U266" i="1"/>
  <c r="U265" i="1"/>
  <c r="U264" i="1"/>
  <c r="U263" i="1"/>
  <c r="U262" i="1"/>
  <c r="U261" i="1"/>
  <c r="U260" i="1"/>
  <c r="U259" i="1"/>
  <c r="U258" i="1"/>
  <c r="U257" i="1"/>
  <c r="U256" i="1"/>
  <c r="U255" i="1"/>
  <c r="U254" i="1"/>
  <c r="U253" i="1"/>
  <c r="U252" i="1"/>
  <c r="U251" i="1"/>
  <c r="U250" i="1"/>
  <c r="U249" i="1"/>
  <c r="U248" i="1"/>
  <c r="U247" i="1"/>
  <c r="U246" i="1"/>
  <c r="U245" i="1"/>
  <c r="U244" i="1"/>
  <c r="U243" i="1"/>
  <c r="U242" i="1"/>
  <c r="U241" i="1"/>
  <c r="U240" i="1"/>
  <c r="U239" i="1"/>
  <c r="U238" i="1"/>
  <c r="U237" i="1"/>
  <c r="U236" i="1"/>
  <c r="U235" i="1"/>
  <c r="U234" i="1"/>
  <c r="U233" i="1"/>
  <c r="U232" i="1"/>
  <c r="U231" i="1"/>
  <c r="U230" i="1"/>
  <c r="U229" i="1"/>
  <c r="U228" i="1"/>
  <c r="U227" i="1"/>
  <c r="U226" i="1"/>
  <c r="U225" i="1"/>
  <c r="U224" i="1"/>
  <c r="U223" i="1"/>
  <c r="U222" i="1"/>
  <c r="U221" i="1"/>
  <c r="U220" i="1"/>
  <c r="U219" i="1"/>
  <c r="U218" i="1"/>
  <c r="U217" i="1"/>
  <c r="U216" i="1"/>
  <c r="U215" i="1"/>
  <c r="U214" i="1"/>
  <c r="U213" i="1"/>
  <c r="U212" i="1"/>
  <c r="U211" i="1"/>
  <c r="U210" i="1"/>
  <c r="U209" i="1"/>
  <c r="U208" i="1"/>
  <c r="U207" i="1"/>
  <c r="U206" i="1"/>
  <c r="U205" i="1"/>
  <c r="U204" i="1"/>
  <c r="U203" i="1"/>
  <c r="U202" i="1"/>
  <c r="U201" i="1"/>
  <c r="U200" i="1"/>
  <c r="U199" i="1"/>
  <c r="U198" i="1"/>
  <c r="U197" i="1"/>
  <c r="U196" i="1"/>
  <c r="U195" i="1"/>
  <c r="U194" i="1"/>
  <c r="U193" i="1"/>
  <c r="U192" i="1"/>
  <c r="U191" i="1"/>
  <c r="U190" i="1"/>
  <c r="U189" i="1"/>
  <c r="U188" i="1"/>
  <c r="U187" i="1"/>
  <c r="U186" i="1"/>
  <c r="U185" i="1"/>
  <c r="U184" i="1"/>
  <c r="U183" i="1"/>
  <c r="U182" i="1"/>
  <c r="U181" i="1"/>
  <c r="U180" i="1"/>
  <c r="U179" i="1"/>
  <c r="U178" i="1"/>
  <c r="U177" i="1"/>
  <c r="U176" i="1"/>
  <c r="U175" i="1"/>
  <c r="U174" i="1"/>
  <c r="U173" i="1"/>
  <c r="U172" i="1"/>
  <c r="U171" i="1"/>
  <c r="U170" i="1"/>
  <c r="U169" i="1"/>
  <c r="U168" i="1"/>
  <c r="U167" i="1"/>
  <c r="U166" i="1"/>
  <c r="U165" i="1"/>
  <c r="U164" i="1"/>
  <c r="U163" i="1"/>
  <c r="U162" i="1"/>
  <c r="U161" i="1"/>
  <c r="U160" i="1"/>
  <c r="U159" i="1"/>
  <c r="U158" i="1"/>
  <c r="U157" i="1"/>
  <c r="U156" i="1"/>
  <c r="U155" i="1"/>
  <c r="U154" i="1"/>
  <c r="U153" i="1"/>
  <c r="U152" i="1"/>
  <c r="U151" i="1"/>
  <c r="U150" i="1"/>
  <c r="U149" i="1"/>
  <c r="U148" i="1"/>
  <c r="U147" i="1"/>
  <c r="U146" i="1"/>
  <c r="U145" i="1"/>
  <c r="U144" i="1"/>
  <c r="U143" i="1"/>
  <c r="U142" i="1"/>
  <c r="U141" i="1"/>
  <c r="U140" i="1"/>
  <c r="U139" i="1"/>
  <c r="U138" i="1"/>
  <c r="U137" i="1"/>
  <c r="U136" i="1"/>
  <c r="U135" i="1"/>
  <c r="U134" i="1"/>
  <c r="U133" i="1"/>
  <c r="U132" i="1"/>
  <c r="U131" i="1"/>
  <c r="U130" i="1"/>
  <c r="U129" i="1"/>
  <c r="U128" i="1"/>
  <c r="U127" i="1"/>
  <c r="U126" i="1"/>
  <c r="U125" i="1"/>
  <c r="U124" i="1"/>
  <c r="U123" i="1"/>
  <c r="U122" i="1"/>
  <c r="U121" i="1"/>
  <c r="U120" i="1"/>
  <c r="U119" i="1"/>
  <c r="U118" i="1"/>
  <c r="U117" i="1"/>
  <c r="U116" i="1"/>
  <c r="U115" i="1"/>
  <c r="U114" i="1"/>
  <c r="U113" i="1"/>
  <c r="U112" i="1"/>
  <c r="U111" i="1"/>
  <c r="U110" i="1"/>
  <c r="U109" i="1"/>
  <c r="U108" i="1"/>
  <c r="U107" i="1"/>
  <c r="U106" i="1"/>
  <c r="U105" i="1"/>
  <c r="U104" i="1"/>
  <c r="U103" i="1"/>
  <c r="U102" i="1"/>
  <c r="U101" i="1"/>
  <c r="U100" i="1"/>
  <c r="U99" i="1"/>
  <c r="U98" i="1"/>
  <c r="U97" i="1"/>
  <c r="U96" i="1"/>
  <c r="U95" i="1"/>
  <c r="U94" i="1"/>
  <c r="U93" i="1"/>
  <c r="U92" i="1"/>
  <c r="U91" i="1"/>
  <c r="U90" i="1"/>
  <c r="U89" i="1"/>
  <c r="U88" i="1"/>
  <c r="U87" i="1"/>
  <c r="U86" i="1"/>
  <c r="U85" i="1"/>
  <c r="U84" i="1"/>
  <c r="U83" i="1"/>
  <c r="U82" i="1"/>
  <c r="U81" i="1"/>
  <c r="U80" i="1"/>
  <c r="U79" i="1"/>
  <c r="U78" i="1"/>
  <c r="U77" i="1"/>
  <c r="U76" i="1"/>
  <c r="U75" i="1"/>
  <c r="U74" i="1"/>
  <c r="U73" i="1"/>
  <c r="U72" i="1"/>
  <c r="U71" i="1"/>
  <c r="U70" i="1"/>
  <c r="U69" i="1"/>
  <c r="U68" i="1"/>
  <c r="U67" i="1"/>
  <c r="U66" i="1"/>
  <c r="U65" i="1"/>
  <c r="U64" i="1"/>
  <c r="U63" i="1"/>
  <c r="U62" i="1"/>
  <c r="U61" i="1"/>
  <c r="U60" i="1"/>
  <c r="U59" i="1"/>
  <c r="U58" i="1"/>
  <c r="U57" i="1"/>
  <c r="U56" i="1"/>
  <c r="U55" i="1"/>
  <c r="U54" i="1"/>
  <c r="U53" i="1"/>
  <c r="U52" i="1"/>
  <c r="U51" i="1"/>
  <c r="U50" i="1"/>
  <c r="U49" i="1"/>
  <c r="U48" i="1"/>
  <c r="U47" i="1"/>
  <c r="U46" i="1"/>
  <c r="U45" i="1"/>
  <c r="U44" i="1"/>
  <c r="U43" i="1"/>
  <c r="U42" i="1"/>
  <c r="U41" i="1"/>
  <c r="U40" i="1"/>
  <c r="U39" i="1"/>
  <c r="U38" i="1"/>
  <c r="U37" i="1"/>
  <c r="U36" i="1"/>
  <c r="U35" i="1"/>
  <c r="U34" i="1"/>
  <c r="U33" i="1"/>
  <c r="U32" i="1"/>
  <c r="U31" i="1"/>
  <c r="U30" i="1"/>
  <c r="U29" i="1"/>
  <c r="U28" i="1"/>
  <c r="U27" i="1"/>
  <c r="U26" i="1"/>
  <c r="U25" i="1"/>
  <c r="U24" i="1"/>
  <c r="U23" i="1"/>
  <c r="U22" i="1"/>
  <c r="U21" i="1"/>
  <c r="U20" i="1"/>
  <c r="U19" i="1"/>
  <c r="U18" i="1"/>
  <c r="U17" i="1"/>
  <c r="U16" i="1"/>
  <c r="U15" i="1"/>
  <c r="U14" i="1"/>
  <c r="U13" i="1"/>
  <c r="U12" i="1"/>
  <c r="U11" i="1"/>
  <c r="U10" i="1"/>
  <c r="U9" i="1"/>
  <c r="U8" i="1"/>
  <c r="U7" i="1"/>
  <c r="U6" i="1"/>
  <c r="U5" i="1"/>
  <c r="U4" i="1"/>
  <c r="U3" i="1"/>
  <c r="U2" i="1"/>
  <c r="L425" i="1"/>
  <c r="L424" i="1"/>
  <c r="L423" i="1"/>
  <c r="L422" i="1"/>
  <c r="L421" i="1"/>
  <c r="L420" i="1"/>
  <c r="L419" i="1"/>
  <c r="L418" i="1"/>
  <c r="L417" i="1"/>
  <c r="L416" i="1"/>
  <c r="L415" i="1"/>
  <c r="L414" i="1"/>
  <c r="L413" i="1"/>
  <c r="L412" i="1"/>
  <c r="L411" i="1"/>
  <c r="L410" i="1"/>
  <c r="L409" i="1"/>
  <c r="L408" i="1"/>
  <c r="L407" i="1"/>
  <c r="L406" i="1"/>
  <c r="L405" i="1"/>
  <c r="L404" i="1"/>
  <c r="L403" i="1"/>
  <c r="L402" i="1"/>
  <c r="L401" i="1"/>
  <c r="L400" i="1"/>
  <c r="L399" i="1"/>
  <c r="L398" i="1"/>
  <c r="L397" i="1"/>
  <c r="L396" i="1"/>
  <c r="L395" i="1"/>
  <c r="L394" i="1"/>
  <c r="L393" i="1"/>
  <c r="L392" i="1"/>
  <c r="L391" i="1"/>
  <c r="L390" i="1"/>
  <c r="L389" i="1"/>
  <c r="L388" i="1"/>
  <c r="L387" i="1"/>
  <c r="L386" i="1"/>
  <c r="L385" i="1"/>
  <c r="L384" i="1"/>
  <c r="L383" i="1"/>
  <c r="L382" i="1"/>
  <c r="L381" i="1"/>
  <c r="L380" i="1"/>
  <c r="L379" i="1"/>
  <c r="L378" i="1"/>
  <c r="L377" i="1"/>
  <c r="L376" i="1"/>
  <c r="L375" i="1"/>
  <c r="L374" i="1"/>
  <c r="L373" i="1"/>
  <c r="L372" i="1"/>
  <c r="L371" i="1"/>
  <c r="L370" i="1"/>
  <c r="L369" i="1"/>
  <c r="L368" i="1"/>
  <c r="L367" i="1"/>
  <c r="L366" i="1"/>
  <c r="L365" i="1"/>
  <c r="L364" i="1"/>
  <c r="L363" i="1"/>
  <c r="L362" i="1"/>
  <c r="L361" i="1"/>
  <c r="L360" i="1"/>
  <c r="L359" i="1"/>
  <c r="L358" i="1"/>
  <c r="L357" i="1"/>
  <c r="L356" i="1"/>
  <c r="L355" i="1"/>
  <c r="L354" i="1"/>
  <c r="L353" i="1"/>
  <c r="L352" i="1"/>
  <c r="L351" i="1"/>
  <c r="L350" i="1"/>
  <c r="L349" i="1"/>
  <c r="L348" i="1"/>
  <c r="L347" i="1"/>
  <c r="L346" i="1"/>
  <c r="L345" i="1"/>
  <c r="L344" i="1"/>
  <c r="L343" i="1"/>
  <c r="L342" i="1"/>
  <c r="L341" i="1"/>
  <c r="L340" i="1"/>
  <c r="L339" i="1"/>
  <c r="L338" i="1"/>
  <c r="L337" i="1"/>
  <c r="L336" i="1"/>
  <c r="L335" i="1"/>
  <c r="L334" i="1"/>
  <c r="L333" i="1"/>
  <c r="L332" i="1"/>
  <c r="L331" i="1"/>
  <c r="L330" i="1"/>
  <c r="L329" i="1"/>
  <c r="L328" i="1"/>
  <c r="L327" i="1"/>
  <c r="L326" i="1"/>
  <c r="L325" i="1"/>
  <c r="L324" i="1"/>
  <c r="L323" i="1"/>
  <c r="L322" i="1"/>
  <c r="L321" i="1"/>
  <c r="L320" i="1"/>
  <c r="L319" i="1"/>
  <c r="L318" i="1"/>
  <c r="L317" i="1"/>
  <c r="L316" i="1"/>
  <c r="L315" i="1"/>
  <c r="L314" i="1"/>
  <c r="L313" i="1"/>
  <c r="L312" i="1"/>
  <c r="L311" i="1"/>
  <c r="L310" i="1"/>
  <c r="L309" i="1"/>
  <c r="L308" i="1"/>
  <c r="L307" i="1"/>
  <c r="L306" i="1"/>
  <c r="L305" i="1"/>
  <c r="L304" i="1"/>
  <c r="L303" i="1"/>
  <c r="L302" i="1"/>
  <c r="L301" i="1"/>
  <c r="L300" i="1"/>
  <c r="L299" i="1"/>
  <c r="L298" i="1"/>
  <c r="L297" i="1"/>
  <c r="L296" i="1"/>
  <c r="L295" i="1"/>
  <c r="L294" i="1"/>
  <c r="L293" i="1"/>
  <c r="L292" i="1"/>
  <c r="L291" i="1"/>
  <c r="L290" i="1"/>
  <c r="L289" i="1"/>
  <c r="L288" i="1"/>
  <c r="L287" i="1"/>
  <c r="L286" i="1"/>
  <c r="L285" i="1"/>
  <c r="L284" i="1"/>
  <c r="L283" i="1"/>
  <c r="L282" i="1"/>
  <c r="L281" i="1"/>
  <c r="L280" i="1"/>
  <c r="L279" i="1"/>
  <c r="L278" i="1"/>
  <c r="L277" i="1"/>
  <c r="L276" i="1"/>
  <c r="L275" i="1"/>
  <c r="L274" i="1"/>
  <c r="L273" i="1"/>
  <c r="L272" i="1"/>
  <c r="L271" i="1"/>
  <c r="L270" i="1"/>
  <c r="L269" i="1"/>
  <c r="L268" i="1"/>
  <c r="L267" i="1"/>
  <c r="L266" i="1"/>
  <c r="L265" i="1"/>
  <c r="L264" i="1"/>
  <c r="L263" i="1"/>
  <c r="L262" i="1"/>
  <c r="L261" i="1"/>
  <c r="L260" i="1"/>
  <c r="L259" i="1"/>
  <c r="L258" i="1"/>
  <c r="L257" i="1"/>
  <c r="L256" i="1"/>
  <c r="L255" i="1"/>
  <c r="L254" i="1"/>
  <c r="L253" i="1"/>
  <c r="L252" i="1"/>
  <c r="L251" i="1"/>
  <c r="L250" i="1"/>
  <c r="L249" i="1"/>
  <c r="L248" i="1"/>
  <c r="L247" i="1"/>
  <c r="L246" i="1"/>
  <c r="L245" i="1"/>
  <c r="L244" i="1"/>
  <c r="L243" i="1"/>
  <c r="L242" i="1"/>
  <c r="L241" i="1"/>
  <c r="L240" i="1"/>
  <c r="L239" i="1"/>
  <c r="L238" i="1"/>
  <c r="L237" i="1"/>
  <c r="L236" i="1"/>
  <c r="L235" i="1"/>
  <c r="L234" i="1"/>
  <c r="L233" i="1"/>
  <c r="L232" i="1"/>
  <c r="L231" i="1"/>
  <c r="L230" i="1"/>
  <c r="L229" i="1"/>
  <c r="L228" i="1"/>
  <c r="L227" i="1"/>
  <c r="L226" i="1"/>
  <c r="L225" i="1"/>
  <c r="L224" i="1"/>
  <c r="L223" i="1"/>
  <c r="L222" i="1"/>
  <c r="L221" i="1"/>
  <c r="L220" i="1"/>
  <c r="L219" i="1"/>
  <c r="L218" i="1"/>
  <c r="L217" i="1"/>
  <c r="L216" i="1"/>
  <c r="L215" i="1"/>
  <c r="L214" i="1"/>
  <c r="L213" i="1"/>
  <c r="L212" i="1"/>
  <c r="L211" i="1"/>
  <c r="L210" i="1"/>
  <c r="L209" i="1"/>
  <c r="L208" i="1"/>
  <c r="L207" i="1"/>
  <c r="L206" i="1"/>
  <c r="L205" i="1"/>
  <c r="L204" i="1"/>
  <c r="L203" i="1"/>
  <c r="L202" i="1"/>
  <c r="L201" i="1"/>
  <c r="L200" i="1"/>
  <c r="L199" i="1"/>
  <c r="L198" i="1"/>
  <c r="L197" i="1"/>
  <c r="L196" i="1"/>
  <c r="L195" i="1"/>
  <c r="L194" i="1"/>
  <c r="L193" i="1"/>
  <c r="L192" i="1"/>
  <c r="L191" i="1"/>
  <c r="L190" i="1"/>
  <c r="L189" i="1"/>
  <c r="L188" i="1"/>
  <c r="L187" i="1"/>
  <c r="L186" i="1"/>
  <c r="L185" i="1"/>
  <c r="L184" i="1"/>
  <c r="L183" i="1"/>
  <c r="L182" i="1"/>
  <c r="L181" i="1"/>
  <c r="L180" i="1"/>
  <c r="L179" i="1"/>
  <c r="L178" i="1"/>
  <c r="L177" i="1"/>
  <c r="L176" i="1"/>
  <c r="L175" i="1"/>
  <c r="L174" i="1"/>
  <c r="L173" i="1"/>
  <c r="L172" i="1"/>
  <c r="L171" i="1"/>
  <c r="L170" i="1"/>
  <c r="L169" i="1"/>
  <c r="L168" i="1"/>
  <c r="L167" i="1"/>
  <c r="L166" i="1"/>
  <c r="L165" i="1"/>
  <c r="L164" i="1"/>
  <c r="L163" i="1"/>
  <c r="L162" i="1"/>
  <c r="L161" i="1"/>
  <c r="L160" i="1"/>
  <c r="L159" i="1"/>
  <c r="L158" i="1"/>
  <c r="L157" i="1"/>
  <c r="L156" i="1"/>
  <c r="L155" i="1"/>
  <c r="L154" i="1"/>
  <c r="L153" i="1"/>
  <c r="L152" i="1"/>
  <c r="L151" i="1"/>
  <c r="L150" i="1"/>
  <c r="L149" i="1"/>
  <c r="L148" i="1"/>
  <c r="L147" i="1"/>
  <c r="L146" i="1"/>
  <c r="L145" i="1"/>
  <c r="L144" i="1"/>
  <c r="L143" i="1"/>
  <c r="L142" i="1"/>
  <c r="L141" i="1"/>
  <c r="L140" i="1"/>
  <c r="L139" i="1"/>
  <c r="L138" i="1"/>
  <c r="L137" i="1"/>
  <c r="L136" i="1"/>
  <c r="L135" i="1"/>
  <c r="L134" i="1"/>
  <c r="L133" i="1"/>
  <c r="L132" i="1"/>
  <c r="L131" i="1"/>
  <c r="L130" i="1"/>
  <c r="L129" i="1"/>
  <c r="L128" i="1"/>
  <c r="L127" i="1"/>
  <c r="L126" i="1"/>
  <c r="L125" i="1"/>
  <c r="L124" i="1"/>
  <c r="L123" i="1"/>
  <c r="L122" i="1"/>
  <c r="L121" i="1"/>
  <c r="L120" i="1"/>
  <c r="L119" i="1"/>
  <c r="L118" i="1"/>
  <c r="L117" i="1"/>
  <c r="L116" i="1"/>
  <c r="L115" i="1"/>
  <c r="L114" i="1"/>
  <c r="L113" i="1"/>
  <c r="L112" i="1"/>
  <c r="L111" i="1"/>
  <c r="L110" i="1"/>
  <c r="L109" i="1"/>
  <c r="L108" i="1"/>
  <c r="L107" i="1"/>
  <c r="L106" i="1"/>
  <c r="L105" i="1"/>
  <c r="L104" i="1"/>
  <c r="L103" i="1"/>
  <c r="L102" i="1"/>
  <c r="L101" i="1"/>
  <c r="L100" i="1"/>
  <c r="L99" i="1"/>
  <c r="L98" i="1"/>
  <c r="L97" i="1"/>
  <c r="L96" i="1"/>
  <c r="L95" i="1"/>
  <c r="L94" i="1"/>
  <c r="L93" i="1"/>
  <c r="L92" i="1"/>
  <c r="L91" i="1"/>
  <c r="L90" i="1"/>
  <c r="L89" i="1"/>
  <c r="L88" i="1"/>
  <c r="L87" i="1"/>
  <c r="L86" i="1"/>
  <c r="L85" i="1"/>
  <c r="L84" i="1"/>
  <c r="L83" i="1"/>
  <c r="L82" i="1"/>
  <c r="L81" i="1"/>
  <c r="L80" i="1"/>
  <c r="L79" i="1"/>
  <c r="L78" i="1"/>
  <c r="L77" i="1"/>
  <c r="L76" i="1"/>
  <c r="L75" i="1"/>
  <c r="L74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L2" i="1"/>
  <c r="T425" i="1"/>
  <c r="T424" i="1"/>
  <c r="T423" i="1"/>
  <c r="T422" i="1"/>
  <c r="T421" i="1"/>
  <c r="T420" i="1"/>
  <c r="T419" i="1"/>
  <c r="T418" i="1"/>
  <c r="T417" i="1"/>
  <c r="T416" i="1"/>
  <c r="T415" i="1"/>
  <c r="T414" i="1"/>
  <c r="T413" i="1"/>
  <c r="T412" i="1"/>
  <c r="T411" i="1"/>
  <c r="T410" i="1"/>
  <c r="T409" i="1"/>
  <c r="T408" i="1"/>
  <c r="T407" i="1"/>
  <c r="T406" i="1"/>
  <c r="T405" i="1"/>
  <c r="T404" i="1"/>
  <c r="T403" i="1"/>
  <c r="T402" i="1"/>
  <c r="T401" i="1"/>
  <c r="T400" i="1"/>
  <c r="T399" i="1"/>
  <c r="T398" i="1"/>
  <c r="T397" i="1"/>
  <c r="T396" i="1"/>
  <c r="T395" i="1"/>
  <c r="T394" i="1"/>
  <c r="T393" i="1"/>
  <c r="T392" i="1"/>
  <c r="T391" i="1"/>
  <c r="T390" i="1"/>
  <c r="T389" i="1"/>
  <c r="T388" i="1"/>
  <c r="T387" i="1"/>
  <c r="T386" i="1"/>
  <c r="T385" i="1"/>
  <c r="T384" i="1"/>
  <c r="T383" i="1"/>
  <c r="T382" i="1"/>
  <c r="T381" i="1"/>
  <c r="T380" i="1"/>
  <c r="T379" i="1"/>
  <c r="T378" i="1"/>
  <c r="T377" i="1"/>
  <c r="T376" i="1"/>
  <c r="T375" i="1"/>
  <c r="T374" i="1"/>
  <c r="T373" i="1"/>
  <c r="T372" i="1"/>
  <c r="T371" i="1"/>
  <c r="T370" i="1"/>
  <c r="T369" i="1"/>
  <c r="T368" i="1"/>
  <c r="T367" i="1"/>
  <c r="T366" i="1"/>
  <c r="T365" i="1"/>
  <c r="T364" i="1"/>
  <c r="T363" i="1"/>
  <c r="T362" i="1"/>
  <c r="T361" i="1"/>
  <c r="T360" i="1"/>
  <c r="T359" i="1"/>
  <c r="T358" i="1"/>
  <c r="T357" i="1"/>
  <c r="T356" i="1"/>
  <c r="T355" i="1"/>
  <c r="T354" i="1"/>
  <c r="T353" i="1"/>
  <c r="T352" i="1"/>
  <c r="T351" i="1"/>
  <c r="T350" i="1"/>
  <c r="T349" i="1"/>
  <c r="T348" i="1"/>
  <c r="T347" i="1"/>
  <c r="T346" i="1"/>
  <c r="T345" i="1"/>
  <c r="T344" i="1"/>
  <c r="T343" i="1"/>
  <c r="T342" i="1"/>
  <c r="T341" i="1"/>
  <c r="T340" i="1"/>
  <c r="T339" i="1"/>
  <c r="T338" i="1"/>
  <c r="T337" i="1"/>
  <c r="T336" i="1"/>
  <c r="T335" i="1"/>
  <c r="T334" i="1"/>
  <c r="T333" i="1"/>
  <c r="T332" i="1"/>
  <c r="T331" i="1"/>
  <c r="T330" i="1"/>
  <c r="T329" i="1"/>
  <c r="T328" i="1"/>
  <c r="T327" i="1"/>
  <c r="T326" i="1"/>
  <c r="T325" i="1"/>
  <c r="T324" i="1"/>
  <c r="T323" i="1"/>
  <c r="T322" i="1"/>
  <c r="T321" i="1"/>
  <c r="T320" i="1"/>
  <c r="T319" i="1"/>
  <c r="T318" i="1"/>
  <c r="T317" i="1"/>
  <c r="T316" i="1"/>
  <c r="T315" i="1"/>
  <c r="T314" i="1"/>
  <c r="T313" i="1"/>
  <c r="T312" i="1"/>
  <c r="T311" i="1"/>
  <c r="T310" i="1"/>
  <c r="T309" i="1"/>
  <c r="T308" i="1"/>
  <c r="T307" i="1"/>
  <c r="T306" i="1"/>
  <c r="T305" i="1"/>
  <c r="T304" i="1"/>
  <c r="T303" i="1"/>
  <c r="T302" i="1"/>
  <c r="T301" i="1"/>
  <c r="T300" i="1"/>
  <c r="T299" i="1"/>
  <c r="T298" i="1"/>
  <c r="T297" i="1"/>
  <c r="T296" i="1"/>
  <c r="T295" i="1"/>
  <c r="T294" i="1"/>
  <c r="T293" i="1"/>
  <c r="T292" i="1"/>
  <c r="T291" i="1"/>
  <c r="T290" i="1"/>
  <c r="T289" i="1"/>
  <c r="T288" i="1"/>
  <c r="T287" i="1"/>
  <c r="T286" i="1"/>
  <c r="T285" i="1"/>
  <c r="T284" i="1"/>
  <c r="T283" i="1"/>
  <c r="T282" i="1"/>
  <c r="T281" i="1"/>
  <c r="T280" i="1"/>
  <c r="T279" i="1"/>
  <c r="T278" i="1"/>
  <c r="T277" i="1"/>
  <c r="T276" i="1"/>
  <c r="T275" i="1"/>
  <c r="T274" i="1"/>
  <c r="T273" i="1"/>
  <c r="T272" i="1"/>
  <c r="T271" i="1"/>
  <c r="T270" i="1"/>
  <c r="T269" i="1"/>
  <c r="T268" i="1"/>
  <c r="T267" i="1"/>
  <c r="T266" i="1"/>
  <c r="T265" i="1"/>
  <c r="T264" i="1"/>
  <c r="T263" i="1"/>
  <c r="T262" i="1"/>
  <c r="T261" i="1"/>
  <c r="T260" i="1"/>
  <c r="T259" i="1"/>
  <c r="T258" i="1"/>
  <c r="T257" i="1"/>
  <c r="T256" i="1"/>
  <c r="T255" i="1"/>
  <c r="T254" i="1"/>
  <c r="T253" i="1"/>
  <c r="T252" i="1"/>
  <c r="T251" i="1"/>
  <c r="T250" i="1"/>
  <c r="T249" i="1"/>
  <c r="T248" i="1"/>
  <c r="T247" i="1"/>
  <c r="T246" i="1"/>
  <c r="T245" i="1"/>
  <c r="T244" i="1"/>
  <c r="T243" i="1"/>
  <c r="T242" i="1"/>
  <c r="T241" i="1"/>
  <c r="T240" i="1"/>
  <c r="T239" i="1"/>
  <c r="T238" i="1"/>
  <c r="T237" i="1"/>
  <c r="T236" i="1"/>
  <c r="T235" i="1"/>
  <c r="T234" i="1"/>
  <c r="T233" i="1"/>
  <c r="T232" i="1"/>
  <c r="T231" i="1"/>
  <c r="T230" i="1"/>
  <c r="T229" i="1"/>
  <c r="T228" i="1"/>
  <c r="T227" i="1"/>
  <c r="T226" i="1"/>
  <c r="T225" i="1"/>
  <c r="T224" i="1"/>
  <c r="T223" i="1"/>
  <c r="T222" i="1"/>
  <c r="T221" i="1"/>
  <c r="T220" i="1"/>
  <c r="T219" i="1"/>
  <c r="T218" i="1"/>
  <c r="T217" i="1"/>
  <c r="T216" i="1"/>
  <c r="T215" i="1"/>
  <c r="T214" i="1"/>
  <c r="T213" i="1"/>
  <c r="T212" i="1"/>
  <c r="T211" i="1"/>
  <c r="T210" i="1"/>
  <c r="T209" i="1"/>
  <c r="T208" i="1"/>
  <c r="T207" i="1"/>
  <c r="T206" i="1"/>
  <c r="T205" i="1"/>
  <c r="T204" i="1"/>
  <c r="T203" i="1"/>
  <c r="T202" i="1"/>
  <c r="T201" i="1"/>
  <c r="T200" i="1"/>
  <c r="T199" i="1"/>
  <c r="T198" i="1"/>
  <c r="T197" i="1"/>
  <c r="T196" i="1"/>
  <c r="T195" i="1"/>
  <c r="T194" i="1"/>
  <c r="T193" i="1"/>
  <c r="T192" i="1"/>
  <c r="T191" i="1"/>
  <c r="T190" i="1"/>
  <c r="T189" i="1"/>
  <c r="T188" i="1"/>
  <c r="T187" i="1"/>
  <c r="T186" i="1"/>
  <c r="T185" i="1"/>
  <c r="T184" i="1"/>
  <c r="T183" i="1"/>
  <c r="T182" i="1"/>
  <c r="T181" i="1"/>
  <c r="T180" i="1"/>
  <c r="T179" i="1"/>
  <c r="T178" i="1"/>
  <c r="T177" i="1"/>
  <c r="T176" i="1"/>
  <c r="T175" i="1"/>
  <c r="T174" i="1"/>
  <c r="T173" i="1"/>
  <c r="T172" i="1"/>
  <c r="T171" i="1"/>
  <c r="T170" i="1"/>
  <c r="T169" i="1"/>
  <c r="T168" i="1"/>
  <c r="T167" i="1"/>
  <c r="T166" i="1"/>
  <c r="T165" i="1"/>
  <c r="T164" i="1"/>
  <c r="T163" i="1"/>
  <c r="T162" i="1"/>
  <c r="T161" i="1"/>
  <c r="T160" i="1"/>
  <c r="T159" i="1"/>
  <c r="T158" i="1"/>
  <c r="T157" i="1"/>
  <c r="T156" i="1"/>
  <c r="T155" i="1"/>
  <c r="T154" i="1"/>
  <c r="T153" i="1"/>
  <c r="T152" i="1"/>
  <c r="T151" i="1"/>
  <c r="T150" i="1"/>
  <c r="T149" i="1"/>
  <c r="T148" i="1"/>
  <c r="T147" i="1"/>
  <c r="T146" i="1"/>
  <c r="T145" i="1"/>
  <c r="T144" i="1"/>
  <c r="T143" i="1"/>
  <c r="T142" i="1"/>
  <c r="T141" i="1"/>
  <c r="T140" i="1"/>
  <c r="T139" i="1"/>
  <c r="T138" i="1"/>
  <c r="T137" i="1"/>
  <c r="T136" i="1"/>
  <c r="T135" i="1"/>
  <c r="T134" i="1"/>
  <c r="T133" i="1"/>
  <c r="T132" i="1"/>
  <c r="T131" i="1"/>
  <c r="T130" i="1"/>
  <c r="T129" i="1"/>
  <c r="T128" i="1"/>
  <c r="T127" i="1"/>
  <c r="T126" i="1"/>
  <c r="T125" i="1"/>
  <c r="T124" i="1"/>
  <c r="T123" i="1"/>
  <c r="T122" i="1"/>
  <c r="T121" i="1"/>
  <c r="T120" i="1"/>
  <c r="T119" i="1"/>
  <c r="T118" i="1"/>
  <c r="T117" i="1"/>
  <c r="T116" i="1"/>
  <c r="T115" i="1"/>
  <c r="T114" i="1"/>
  <c r="T113" i="1"/>
  <c r="T112" i="1"/>
  <c r="T111" i="1"/>
  <c r="T110" i="1"/>
  <c r="T109" i="1"/>
  <c r="T108" i="1"/>
  <c r="T107" i="1"/>
  <c r="T106" i="1"/>
  <c r="T105" i="1"/>
  <c r="T104" i="1"/>
  <c r="T103" i="1"/>
  <c r="T102" i="1"/>
  <c r="T101" i="1"/>
  <c r="T100" i="1"/>
  <c r="T99" i="1"/>
  <c r="T98" i="1"/>
  <c r="T97" i="1"/>
  <c r="T96" i="1"/>
  <c r="T95" i="1"/>
  <c r="T94" i="1"/>
  <c r="T93" i="1"/>
  <c r="T92" i="1"/>
  <c r="T91" i="1"/>
  <c r="T90" i="1"/>
  <c r="T89" i="1"/>
  <c r="T88" i="1"/>
  <c r="T87" i="1"/>
  <c r="T86" i="1"/>
  <c r="T85" i="1"/>
  <c r="T84" i="1"/>
  <c r="T83" i="1"/>
  <c r="T82" i="1"/>
  <c r="T81" i="1"/>
  <c r="T80" i="1"/>
  <c r="T79" i="1"/>
  <c r="T78" i="1"/>
  <c r="T77" i="1"/>
  <c r="T76" i="1"/>
  <c r="T75" i="1"/>
  <c r="T74" i="1"/>
  <c r="T73" i="1"/>
  <c r="T72" i="1"/>
  <c r="T71" i="1"/>
  <c r="T70" i="1"/>
  <c r="T69" i="1"/>
  <c r="T68" i="1"/>
  <c r="T67" i="1"/>
  <c r="T66" i="1"/>
  <c r="T65" i="1"/>
  <c r="T64" i="1"/>
  <c r="T63" i="1"/>
  <c r="T62" i="1"/>
  <c r="T61" i="1"/>
  <c r="T60" i="1"/>
  <c r="T59" i="1"/>
  <c r="T58" i="1"/>
  <c r="T57" i="1"/>
  <c r="T5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T8" i="1"/>
  <c r="T7" i="1"/>
  <c r="T6" i="1"/>
  <c r="T5" i="1"/>
  <c r="T4" i="1"/>
  <c r="T3" i="1"/>
  <c r="T2" i="1"/>
  <c r="W425" i="1"/>
  <c r="V425" i="1"/>
  <c r="W424" i="1"/>
  <c r="V424" i="1"/>
  <c r="W423" i="1"/>
  <c r="V423" i="1"/>
  <c r="W422" i="1"/>
  <c r="V422" i="1"/>
  <c r="W421" i="1"/>
  <c r="V421" i="1"/>
  <c r="W420" i="1"/>
  <c r="V420" i="1"/>
  <c r="W419" i="1"/>
  <c r="V419" i="1"/>
  <c r="W418" i="1"/>
  <c r="V418" i="1"/>
  <c r="W417" i="1"/>
  <c r="V417" i="1"/>
  <c r="W416" i="1"/>
  <c r="V416" i="1"/>
  <c r="W415" i="1"/>
  <c r="V415" i="1"/>
  <c r="W414" i="1"/>
  <c r="V414" i="1"/>
  <c r="W413" i="1"/>
  <c r="V413" i="1"/>
  <c r="W412" i="1"/>
  <c r="V412" i="1"/>
  <c r="W411" i="1"/>
  <c r="V411" i="1"/>
  <c r="W410" i="1"/>
  <c r="V410" i="1"/>
  <c r="W409" i="1"/>
  <c r="V409" i="1"/>
  <c r="W408" i="1"/>
  <c r="V408" i="1"/>
  <c r="W407" i="1"/>
  <c r="V407" i="1"/>
  <c r="W406" i="1"/>
  <c r="V406" i="1"/>
  <c r="W405" i="1"/>
  <c r="V405" i="1"/>
  <c r="W404" i="1"/>
  <c r="V404" i="1"/>
  <c r="W403" i="1"/>
  <c r="V403" i="1"/>
  <c r="W402" i="1"/>
  <c r="V402" i="1"/>
  <c r="W401" i="1"/>
  <c r="V401" i="1"/>
  <c r="W400" i="1"/>
  <c r="V400" i="1"/>
  <c r="W399" i="1"/>
  <c r="V399" i="1"/>
  <c r="W398" i="1"/>
  <c r="V398" i="1"/>
  <c r="W397" i="1"/>
  <c r="V397" i="1"/>
  <c r="W396" i="1"/>
  <c r="V396" i="1"/>
  <c r="W395" i="1"/>
  <c r="V395" i="1"/>
  <c r="W394" i="1"/>
  <c r="V394" i="1"/>
  <c r="W393" i="1"/>
  <c r="V393" i="1"/>
  <c r="W392" i="1"/>
  <c r="V392" i="1"/>
  <c r="W391" i="1"/>
  <c r="V391" i="1"/>
  <c r="W390" i="1"/>
  <c r="V390" i="1"/>
  <c r="W389" i="1"/>
  <c r="V389" i="1"/>
  <c r="W388" i="1"/>
  <c r="V388" i="1"/>
  <c r="W387" i="1"/>
  <c r="V387" i="1"/>
  <c r="W386" i="1"/>
  <c r="V386" i="1"/>
  <c r="W385" i="1"/>
  <c r="V385" i="1"/>
  <c r="W384" i="1"/>
  <c r="V384" i="1"/>
  <c r="W383" i="1"/>
  <c r="V383" i="1"/>
  <c r="W382" i="1"/>
  <c r="V382" i="1"/>
  <c r="W381" i="1"/>
  <c r="V381" i="1"/>
  <c r="W380" i="1"/>
  <c r="V380" i="1"/>
  <c r="W379" i="1"/>
  <c r="V379" i="1"/>
  <c r="W378" i="1"/>
  <c r="V378" i="1"/>
  <c r="W377" i="1"/>
  <c r="V377" i="1"/>
  <c r="W376" i="1"/>
  <c r="V376" i="1"/>
  <c r="J425" i="1"/>
  <c r="J424" i="1"/>
  <c r="J423" i="1"/>
  <c r="J422" i="1"/>
  <c r="J421" i="1"/>
  <c r="J420" i="1"/>
  <c r="J419" i="1"/>
  <c r="J418" i="1"/>
  <c r="J417" i="1"/>
  <c r="J416" i="1"/>
  <c r="J415" i="1"/>
  <c r="J414" i="1"/>
  <c r="J413" i="1"/>
  <c r="J412" i="1"/>
  <c r="J411" i="1"/>
  <c r="J410" i="1"/>
  <c r="J409" i="1"/>
  <c r="J408" i="1"/>
  <c r="J407" i="1"/>
  <c r="J406" i="1"/>
  <c r="J405" i="1"/>
  <c r="J404" i="1"/>
  <c r="J403" i="1"/>
  <c r="J402" i="1"/>
  <c r="J401" i="1"/>
  <c r="J400" i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5" i="1"/>
  <c r="J384" i="1"/>
  <c r="J383" i="1"/>
  <c r="J382" i="1"/>
  <c r="J381" i="1"/>
  <c r="J380" i="1"/>
  <c r="J379" i="1"/>
  <c r="J378" i="1"/>
  <c r="J377" i="1"/>
  <c r="J376" i="1"/>
  <c r="W375" i="1"/>
  <c r="W374" i="1"/>
  <c r="W373" i="1"/>
  <c r="W372" i="1"/>
  <c r="W371" i="1"/>
  <c r="W370" i="1"/>
  <c r="W369" i="1"/>
  <c r="W368" i="1"/>
  <c r="W367" i="1"/>
  <c r="W366" i="1"/>
  <c r="W365" i="1"/>
  <c r="W364" i="1"/>
  <c r="W363" i="1"/>
  <c r="W362" i="1"/>
  <c r="W361" i="1"/>
  <c r="W360" i="1"/>
  <c r="W359" i="1"/>
  <c r="W358" i="1"/>
  <c r="W357" i="1"/>
  <c r="W356" i="1"/>
  <c r="W355" i="1"/>
  <c r="W354" i="1"/>
  <c r="W353" i="1"/>
  <c r="W352" i="1"/>
  <c r="W351" i="1"/>
  <c r="W350" i="1"/>
  <c r="W349" i="1"/>
  <c r="W348" i="1"/>
  <c r="W347" i="1"/>
  <c r="W346" i="1"/>
  <c r="W345" i="1"/>
  <c r="W344" i="1"/>
  <c r="W343" i="1"/>
  <c r="W342" i="1"/>
  <c r="W341" i="1"/>
  <c r="W340" i="1"/>
  <c r="W339" i="1"/>
  <c r="W338" i="1"/>
  <c r="W337" i="1"/>
  <c r="W336" i="1"/>
  <c r="W335" i="1"/>
  <c r="W334" i="1"/>
  <c r="W333" i="1"/>
  <c r="W332" i="1"/>
  <c r="W331" i="1"/>
  <c r="W330" i="1"/>
  <c r="W329" i="1"/>
  <c r="W328" i="1"/>
  <c r="W327" i="1"/>
  <c r="W326" i="1"/>
  <c r="W325" i="1"/>
  <c r="W324" i="1"/>
  <c r="W323" i="1"/>
  <c r="W322" i="1"/>
  <c r="W321" i="1"/>
  <c r="W320" i="1"/>
  <c r="W319" i="1"/>
  <c r="W318" i="1"/>
  <c r="W317" i="1"/>
  <c r="W316" i="1"/>
  <c r="W315" i="1"/>
  <c r="W314" i="1"/>
  <c r="W313" i="1"/>
  <c r="W312" i="1"/>
  <c r="W311" i="1"/>
  <c r="W310" i="1"/>
  <c r="W309" i="1"/>
  <c r="W308" i="1"/>
  <c r="W307" i="1"/>
  <c r="W306" i="1"/>
  <c r="W305" i="1"/>
  <c r="W304" i="1"/>
  <c r="W303" i="1"/>
  <c r="W302" i="1"/>
  <c r="W301" i="1"/>
  <c r="W300" i="1"/>
  <c r="W299" i="1"/>
  <c r="W298" i="1"/>
  <c r="W297" i="1"/>
  <c r="W296" i="1"/>
  <c r="W295" i="1"/>
  <c r="W294" i="1"/>
  <c r="W293" i="1"/>
  <c r="W292" i="1"/>
  <c r="W291" i="1"/>
  <c r="W290" i="1"/>
  <c r="W289" i="1"/>
  <c r="W288" i="1"/>
  <c r="W287" i="1"/>
  <c r="W286" i="1"/>
  <c r="W285" i="1"/>
  <c r="W284" i="1"/>
  <c r="W283" i="1"/>
  <c r="W282" i="1"/>
  <c r="W281" i="1"/>
  <c r="W280" i="1"/>
  <c r="W279" i="1"/>
  <c r="W278" i="1"/>
  <c r="W277" i="1"/>
  <c r="W276" i="1"/>
  <c r="W275" i="1"/>
  <c r="W274" i="1"/>
  <c r="W273" i="1"/>
  <c r="W272" i="1"/>
  <c r="W271" i="1"/>
  <c r="W270" i="1"/>
  <c r="W269" i="1"/>
  <c r="W268" i="1"/>
  <c r="W267" i="1"/>
  <c r="W266" i="1"/>
  <c r="W265" i="1"/>
  <c r="W264" i="1"/>
  <c r="W263" i="1"/>
  <c r="W262" i="1"/>
  <c r="W261" i="1"/>
  <c r="W260" i="1"/>
  <c r="W259" i="1"/>
  <c r="W258" i="1"/>
  <c r="W257" i="1"/>
  <c r="W256" i="1"/>
  <c r="W255" i="1"/>
  <c r="W254" i="1"/>
  <c r="W253" i="1"/>
  <c r="W252" i="1"/>
  <c r="W251" i="1"/>
  <c r="W250" i="1"/>
  <c r="W249" i="1"/>
  <c r="W248" i="1"/>
  <c r="W247" i="1"/>
  <c r="W246" i="1"/>
  <c r="W245" i="1"/>
  <c r="W244" i="1"/>
  <c r="W243" i="1"/>
  <c r="W242" i="1"/>
  <c r="W241" i="1"/>
  <c r="W240" i="1"/>
  <c r="W239" i="1"/>
  <c r="W238" i="1"/>
  <c r="W237" i="1"/>
  <c r="W236" i="1"/>
  <c r="W235" i="1"/>
  <c r="W234" i="1"/>
  <c r="W233" i="1"/>
  <c r="W232" i="1"/>
  <c r="W231" i="1"/>
  <c r="W230" i="1"/>
  <c r="W229" i="1"/>
  <c r="W228" i="1"/>
  <c r="W227" i="1"/>
  <c r="W226" i="1"/>
  <c r="W225" i="1"/>
  <c r="W224" i="1"/>
  <c r="W223" i="1"/>
  <c r="W222" i="1"/>
  <c r="W221" i="1"/>
  <c r="W220" i="1"/>
  <c r="W219" i="1"/>
  <c r="W218" i="1"/>
  <c r="W217" i="1"/>
  <c r="W216" i="1"/>
  <c r="W215" i="1"/>
  <c r="W214" i="1"/>
  <c r="W213" i="1"/>
  <c r="W212" i="1"/>
  <c r="W211" i="1"/>
  <c r="W210" i="1"/>
  <c r="W209" i="1"/>
  <c r="W208" i="1"/>
  <c r="W207" i="1"/>
  <c r="W206" i="1"/>
  <c r="W205" i="1"/>
  <c r="W204" i="1"/>
  <c r="W203" i="1"/>
  <c r="W202" i="1"/>
  <c r="W201" i="1"/>
  <c r="W200" i="1"/>
  <c r="W199" i="1"/>
  <c r="W198" i="1"/>
  <c r="W197" i="1"/>
  <c r="W196" i="1"/>
  <c r="W195" i="1"/>
  <c r="W194" i="1"/>
  <c r="W193" i="1"/>
  <c r="W192" i="1"/>
  <c r="W191" i="1"/>
  <c r="W190" i="1"/>
  <c r="W189" i="1"/>
  <c r="W188" i="1"/>
  <c r="W187" i="1"/>
  <c r="W186" i="1"/>
  <c r="W185" i="1"/>
  <c r="W184" i="1"/>
  <c r="W183" i="1"/>
  <c r="W182" i="1"/>
  <c r="W181" i="1"/>
  <c r="W180" i="1"/>
  <c r="W179" i="1"/>
  <c r="W178" i="1"/>
  <c r="W177" i="1"/>
  <c r="W176" i="1"/>
  <c r="W175" i="1"/>
  <c r="W174" i="1"/>
  <c r="W173" i="1"/>
  <c r="W172" i="1"/>
  <c r="W171" i="1"/>
  <c r="W170" i="1"/>
  <c r="W169" i="1"/>
  <c r="W168" i="1"/>
  <c r="W167" i="1"/>
  <c r="W166" i="1"/>
  <c r="W165" i="1"/>
  <c r="W164" i="1"/>
  <c r="W163" i="1"/>
  <c r="W162" i="1"/>
  <c r="W161" i="1"/>
  <c r="W160" i="1"/>
  <c r="W159" i="1"/>
  <c r="W158" i="1"/>
  <c r="W157" i="1"/>
  <c r="W156" i="1"/>
  <c r="W155" i="1"/>
  <c r="W154" i="1"/>
  <c r="W153" i="1"/>
  <c r="W152" i="1"/>
  <c r="W151" i="1"/>
  <c r="W150" i="1"/>
  <c r="W149" i="1"/>
  <c r="W148" i="1"/>
  <c r="W147" i="1"/>
  <c r="W146" i="1"/>
  <c r="W145" i="1"/>
  <c r="W144" i="1"/>
  <c r="W143" i="1"/>
  <c r="W142" i="1"/>
  <c r="W141" i="1"/>
  <c r="W140" i="1"/>
  <c r="W139" i="1"/>
  <c r="W138" i="1"/>
  <c r="W137" i="1"/>
  <c r="W136" i="1"/>
  <c r="W135" i="1"/>
  <c r="W134" i="1"/>
  <c r="W133" i="1"/>
  <c r="W132" i="1"/>
  <c r="W131" i="1"/>
  <c r="W130" i="1"/>
  <c r="W129" i="1"/>
  <c r="W128" i="1"/>
  <c r="W127" i="1"/>
  <c r="W126" i="1"/>
  <c r="W125" i="1"/>
  <c r="W124" i="1"/>
  <c r="W123" i="1"/>
  <c r="W122" i="1"/>
  <c r="W121" i="1"/>
  <c r="W120" i="1"/>
  <c r="W119" i="1"/>
  <c r="W118" i="1"/>
  <c r="W117" i="1"/>
  <c r="W116" i="1"/>
  <c r="W115" i="1"/>
  <c r="W114" i="1"/>
  <c r="W113" i="1"/>
  <c r="W112" i="1"/>
  <c r="W111" i="1"/>
  <c r="W110" i="1"/>
  <c r="W109" i="1"/>
  <c r="W108" i="1"/>
  <c r="W107" i="1"/>
  <c r="W106" i="1"/>
  <c r="W105" i="1"/>
  <c r="W104" i="1"/>
  <c r="W103" i="1"/>
  <c r="W102" i="1"/>
  <c r="W101" i="1"/>
  <c r="W100" i="1"/>
  <c r="W99" i="1"/>
  <c r="W98" i="1"/>
  <c r="W97" i="1"/>
  <c r="W96" i="1"/>
  <c r="W95" i="1"/>
  <c r="W94" i="1"/>
  <c r="W93" i="1"/>
  <c r="W92" i="1"/>
  <c r="W91" i="1"/>
  <c r="W90" i="1"/>
  <c r="W89" i="1"/>
  <c r="W88" i="1"/>
  <c r="W87" i="1"/>
  <c r="W86" i="1"/>
  <c r="W85" i="1"/>
  <c r="W84" i="1"/>
  <c r="W83" i="1"/>
  <c r="W82" i="1"/>
  <c r="W81" i="1"/>
  <c r="W80" i="1"/>
  <c r="W79" i="1"/>
  <c r="W78" i="1"/>
  <c r="W77" i="1"/>
  <c r="W76" i="1"/>
  <c r="W75" i="1"/>
  <c r="W74" i="1"/>
  <c r="W73" i="1"/>
  <c r="W72" i="1"/>
  <c r="W71" i="1"/>
  <c r="W70" i="1"/>
  <c r="W69" i="1"/>
  <c r="W68" i="1"/>
  <c r="W67" i="1"/>
  <c r="W66" i="1"/>
  <c r="W65" i="1"/>
  <c r="W64" i="1"/>
  <c r="W63" i="1"/>
  <c r="W62" i="1"/>
  <c r="W61" i="1"/>
  <c r="W60" i="1"/>
  <c r="W59" i="1"/>
  <c r="W58" i="1"/>
  <c r="W57" i="1"/>
  <c r="W56" i="1"/>
  <c r="W55" i="1"/>
  <c r="W54" i="1"/>
  <c r="W53" i="1"/>
  <c r="W52" i="1"/>
  <c r="W51" i="1"/>
  <c r="W50" i="1"/>
  <c r="W49" i="1"/>
  <c r="W48" i="1"/>
  <c r="W47" i="1"/>
  <c r="W46" i="1"/>
  <c r="W45" i="1"/>
  <c r="W44" i="1"/>
  <c r="W43" i="1"/>
  <c r="W42" i="1"/>
  <c r="W41" i="1"/>
  <c r="W40" i="1"/>
  <c r="W39" i="1"/>
  <c r="W38" i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V375" i="1"/>
  <c r="V374" i="1"/>
  <c r="V373" i="1"/>
  <c r="V372" i="1"/>
  <c r="V371" i="1"/>
  <c r="V370" i="1"/>
  <c r="V369" i="1"/>
  <c r="V368" i="1"/>
  <c r="V367" i="1"/>
  <c r="V366" i="1"/>
  <c r="V365" i="1"/>
  <c r="V364" i="1"/>
  <c r="V363" i="1"/>
  <c r="V362" i="1"/>
  <c r="V361" i="1"/>
  <c r="V360" i="1"/>
  <c r="V359" i="1"/>
  <c r="V358" i="1"/>
  <c r="V357" i="1"/>
  <c r="V356" i="1"/>
  <c r="V355" i="1"/>
  <c r="V354" i="1"/>
  <c r="V353" i="1"/>
  <c r="V352" i="1"/>
  <c r="V351" i="1"/>
  <c r="V350" i="1"/>
  <c r="V349" i="1"/>
  <c r="V348" i="1"/>
  <c r="V347" i="1"/>
  <c r="V346" i="1"/>
  <c r="V345" i="1"/>
  <c r="V344" i="1"/>
  <c r="V343" i="1"/>
  <c r="V342" i="1"/>
  <c r="V341" i="1"/>
  <c r="V340" i="1"/>
  <c r="V339" i="1"/>
  <c r="V338" i="1"/>
  <c r="V337" i="1"/>
  <c r="V336" i="1"/>
  <c r="V335" i="1"/>
  <c r="V334" i="1"/>
  <c r="V333" i="1"/>
  <c r="V332" i="1"/>
  <c r="V331" i="1"/>
  <c r="V330" i="1"/>
  <c r="V329" i="1"/>
  <c r="V328" i="1"/>
  <c r="V327" i="1"/>
  <c r="V326" i="1"/>
  <c r="V325" i="1"/>
  <c r="V324" i="1"/>
  <c r="V323" i="1"/>
  <c r="V322" i="1"/>
  <c r="V321" i="1"/>
  <c r="V320" i="1"/>
  <c r="V319" i="1"/>
  <c r="V318" i="1"/>
  <c r="V317" i="1"/>
  <c r="V316" i="1"/>
  <c r="V315" i="1"/>
  <c r="V314" i="1"/>
  <c r="V313" i="1"/>
  <c r="V312" i="1"/>
  <c r="V311" i="1"/>
  <c r="V310" i="1"/>
  <c r="V309" i="1"/>
  <c r="V308" i="1"/>
  <c r="V307" i="1"/>
  <c r="V306" i="1"/>
  <c r="V305" i="1"/>
  <c r="V304" i="1"/>
  <c r="V303" i="1"/>
  <c r="V302" i="1"/>
  <c r="V301" i="1"/>
  <c r="V300" i="1"/>
  <c r="V299" i="1"/>
  <c r="V298" i="1"/>
  <c r="V297" i="1"/>
  <c r="V296" i="1"/>
  <c r="V295" i="1"/>
  <c r="V294" i="1"/>
  <c r="V293" i="1"/>
  <c r="V292" i="1"/>
  <c r="V291" i="1"/>
  <c r="V290" i="1"/>
  <c r="V289" i="1"/>
  <c r="V288" i="1"/>
  <c r="V287" i="1"/>
  <c r="V286" i="1"/>
  <c r="V285" i="1"/>
  <c r="V284" i="1"/>
  <c r="V283" i="1"/>
  <c r="V282" i="1"/>
  <c r="V281" i="1"/>
  <c r="V280" i="1"/>
  <c r="V279" i="1"/>
  <c r="V278" i="1"/>
  <c r="V277" i="1"/>
  <c r="V276" i="1"/>
  <c r="V275" i="1"/>
  <c r="V274" i="1"/>
  <c r="V273" i="1"/>
  <c r="V272" i="1"/>
  <c r="V271" i="1"/>
  <c r="V270" i="1"/>
  <c r="V269" i="1"/>
  <c r="V268" i="1"/>
  <c r="V267" i="1"/>
  <c r="V266" i="1"/>
  <c r="V265" i="1"/>
  <c r="V264" i="1"/>
  <c r="V263" i="1"/>
  <c r="V262" i="1"/>
  <c r="V261" i="1"/>
  <c r="V260" i="1"/>
  <c r="V259" i="1"/>
  <c r="V258" i="1"/>
  <c r="V257" i="1"/>
  <c r="V256" i="1"/>
  <c r="V255" i="1"/>
  <c r="V254" i="1"/>
  <c r="V253" i="1"/>
  <c r="V252" i="1"/>
  <c r="V251" i="1"/>
  <c r="V250" i="1"/>
  <c r="V249" i="1"/>
  <c r="V248" i="1"/>
  <c r="V247" i="1"/>
  <c r="V246" i="1"/>
  <c r="V245" i="1"/>
  <c r="V244" i="1"/>
  <c r="V243" i="1"/>
  <c r="V242" i="1"/>
  <c r="V241" i="1"/>
  <c r="V240" i="1"/>
  <c r="V239" i="1"/>
  <c r="V238" i="1"/>
  <c r="V237" i="1"/>
  <c r="V236" i="1"/>
  <c r="V235" i="1"/>
  <c r="V234" i="1"/>
  <c r="V233" i="1"/>
  <c r="V232" i="1"/>
  <c r="V231" i="1"/>
  <c r="V230" i="1"/>
  <c r="V229" i="1"/>
  <c r="V228" i="1"/>
  <c r="V227" i="1"/>
  <c r="V226" i="1"/>
  <c r="V225" i="1"/>
  <c r="V224" i="1"/>
  <c r="V223" i="1"/>
  <c r="V222" i="1"/>
  <c r="V221" i="1"/>
  <c r="V220" i="1"/>
  <c r="V219" i="1"/>
  <c r="V218" i="1"/>
  <c r="V217" i="1"/>
  <c r="V216" i="1"/>
  <c r="V215" i="1"/>
  <c r="V214" i="1"/>
  <c r="V213" i="1"/>
  <c r="V212" i="1"/>
  <c r="V211" i="1"/>
  <c r="V210" i="1"/>
  <c r="V209" i="1"/>
  <c r="V208" i="1"/>
  <c r="V207" i="1"/>
  <c r="V206" i="1"/>
  <c r="V205" i="1"/>
  <c r="V204" i="1"/>
  <c r="V203" i="1"/>
  <c r="V202" i="1"/>
  <c r="V201" i="1"/>
  <c r="V200" i="1"/>
  <c r="V199" i="1"/>
  <c r="V198" i="1"/>
  <c r="V197" i="1"/>
  <c r="V196" i="1"/>
  <c r="V195" i="1"/>
  <c r="V194" i="1"/>
  <c r="V193" i="1"/>
  <c r="V192" i="1"/>
  <c r="V191" i="1"/>
  <c r="V190" i="1"/>
  <c r="V189" i="1"/>
  <c r="V188" i="1"/>
  <c r="V187" i="1"/>
  <c r="V186" i="1"/>
  <c r="V185" i="1"/>
  <c r="V184" i="1"/>
  <c r="V183" i="1"/>
  <c r="V182" i="1"/>
  <c r="V181" i="1"/>
  <c r="V180" i="1"/>
  <c r="V179" i="1"/>
  <c r="V178" i="1"/>
  <c r="V177" i="1"/>
  <c r="V176" i="1"/>
  <c r="V175" i="1"/>
  <c r="V174" i="1"/>
  <c r="V173" i="1"/>
  <c r="V172" i="1"/>
  <c r="V171" i="1"/>
  <c r="V170" i="1"/>
  <c r="V169" i="1"/>
  <c r="V168" i="1"/>
  <c r="V167" i="1"/>
  <c r="V166" i="1"/>
  <c r="V165" i="1"/>
  <c r="V164" i="1"/>
  <c r="V163" i="1"/>
  <c r="V162" i="1"/>
  <c r="V161" i="1"/>
  <c r="V160" i="1"/>
  <c r="V159" i="1"/>
  <c r="V158" i="1"/>
  <c r="V157" i="1"/>
  <c r="V156" i="1"/>
  <c r="V155" i="1"/>
  <c r="V154" i="1"/>
  <c r="V153" i="1"/>
  <c r="V152" i="1"/>
  <c r="V151" i="1"/>
  <c r="V150" i="1"/>
  <c r="V149" i="1"/>
  <c r="V148" i="1"/>
  <c r="V147" i="1"/>
  <c r="V146" i="1"/>
  <c r="V145" i="1"/>
  <c r="V144" i="1"/>
  <c r="V143" i="1"/>
  <c r="V142" i="1"/>
  <c r="V141" i="1"/>
  <c r="V140" i="1"/>
  <c r="V139" i="1"/>
  <c r="V138" i="1"/>
  <c r="V137" i="1"/>
  <c r="V136" i="1"/>
  <c r="V135" i="1"/>
  <c r="V134" i="1"/>
  <c r="V133" i="1"/>
  <c r="V132" i="1"/>
  <c r="V131" i="1"/>
  <c r="V130" i="1"/>
  <c r="V129" i="1"/>
  <c r="V128" i="1"/>
  <c r="V127" i="1"/>
  <c r="V126" i="1"/>
  <c r="V125" i="1"/>
  <c r="V124" i="1"/>
  <c r="V123" i="1"/>
  <c r="V122" i="1"/>
  <c r="V121" i="1"/>
  <c r="V120" i="1"/>
  <c r="V119" i="1"/>
  <c r="V118" i="1"/>
  <c r="V117" i="1"/>
  <c r="V116" i="1"/>
  <c r="V115" i="1"/>
  <c r="V114" i="1"/>
  <c r="V113" i="1"/>
  <c r="V112" i="1"/>
  <c r="V111" i="1"/>
  <c r="V110" i="1"/>
  <c r="V109" i="1"/>
  <c r="V108" i="1"/>
  <c r="V107" i="1"/>
  <c r="V106" i="1"/>
  <c r="V105" i="1"/>
  <c r="V104" i="1"/>
  <c r="V103" i="1"/>
  <c r="V102" i="1"/>
  <c r="V101" i="1"/>
  <c r="V100" i="1"/>
  <c r="V99" i="1"/>
  <c r="V98" i="1"/>
  <c r="V97" i="1"/>
  <c r="V96" i="1"/>
  <c r="V95" i="1"/>
  <c r="V94" i="1"/>
  <c r="V93" i="1"/>
  <c r="V92" i="1"/>
  <c r="V91" i="1"/>
  <c r="V90" i="1"/>
  <c r="V89" i="1"/>
  <c r="V88" i="1"/>
  <c r="V87" i="1"/>
  <c r="V86" i="1"/>
  <c r="V85" i="1"/>
  <c r="V84" i="1"/>
  <c r="V83" i="1"/>
  <c r="V82" i="1"/>
  <c r="V81" i="1"/>
  <c r="V80" i="1"/>
  <c r="V79" i="1"/>
  <c r="V78" i="1"/>
  <c r="V77" i="1"/>
  <c r="V76" i="1"/>
  <c r="V75" i="1"/>
  <c r="V74" i="1"/>
  <c r="V73" i="1"/>
  <c r="V72" i="1"/>
  <c r="V71" i="1"/>
  <c r="V70" i="1"/>
  <c r="V69" i="1"/>
  <c r="V68" i="1"/>
  <c r="V67" i="1"/>
  <c r="V66" i="1"/>
  <c r="V65" i="1"/>
  <c r="V64" i="1"/>
  <c r="V63" i="1"/>
  <c r="V62" i="1"/>
  <c r="V61" i="1"/>
  <c r="V60" i="1"/>
  <c r="V59" i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J375" i="1"/>
  <c r="J374" i="1"/>
  <c r="J373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57" i="1"/>
  <c r="J356" i="1"/>
  <c r="J355" i="1"/>
  <c r="J354" i="1"/>
  <c r="J353" i="1"/>
  <c r="J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7" i="1"/>
  <c r="J336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75" i="1"/>
  <c r="J274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</calcChain>
</file>

<file path=xl/sharedStrings.xml><?xml version="1.0" encoding="utf-8"?>
<sst xmlns="http://schemas.openxmlformats.org/spreadsheetml/2006/main" count="2404" uniqueCount="85">
  <si>
    <t>Date</t>
  </si>
  <si>
    <t>HomeTeam</t>
  </si>
  <si>
    <t>AwayTeam</t>
  </si>
  <si>
    <t>E2</t>
  </si>
  <si>
    <t>Bolton</t>
  </si>
  <si>
    <t>Sheffield United</t>
  </si>
  <si>
    <t>Bradford</t>
  </si>
  <si>
    <t>Port Vale</t>
  </si>
  <si>
    <t>Bury</t>
  </si>
  <si>
    <t>Charlton</t>
  </si>
  <si>
    <t>Millwall</t>
  </si>
  <si>
    <t>Oldham</t>
  </si>
  <si>
    <t>Northampton</t>
  </si>
  <si>
    <t>Fleetwood Town</t>
  </si>
  <si>
    <t>Oxford</t>
  </si>
  <si>
    <t>Chesterfield</t>
  </si>
  <si>
    <t>Rochdale</t>
  </si>
  <si>
    <t>Peterboro</t>
  </si>
  <si>
    <t>Scunthorpe</t>
  </si>
  <si>
    <t>Bristol Rvs</t>
  </si>
  <si>
    <t>Shrewsbury</t>
  </si>
  <si>
    <t>Milton Keynes Dons</t>
  </si>
  <si>
    <t>Southend</t>
  </si>
  <si>
    <t>Gillingham</t>
  </si>
  <si>
    <t>Swindon</t>
  </si>
  <si>
    <t>Coventry</t>
  </si>
  <si>
    <t>Walsall</t>
  </si>
  <si>
    <t>AFC Wimbledon</t>
  </si>
  <si>
    <t>Day</t>
  </si>
  <si>
    <t>Day_Eve</t>
  </si>
  <si>
    <t>Holiday</t>
  </si>
  <si>
    <t>Y</t>
  </si>
  <si>
    <t>N</t>
  </si>
  <si>
    <t>Form Home</t>
  </si>
  <si>
    <t>Form Away</t>
  </si>
  <si>
    <t>Distance</t>
  </si>
  <si>
    <t>Home League Position</t>
  </si>
  <si>
    <t>Away League Position</t>
  </si>
  <si>
    <t>Temperature</t>
  </si>
  <si>
    <t>Capacity</t>
  </si>
  <si>
    <t>Attendance</t>
  </si>
  <si>
    <t>Home PostCode</t>
  </si>
  <si>
    <t>Away PostCode</t>
  </si>
  <si>
    <t>KT1 3PB</t>
  </si>
  <si>
    <t>BL6 6JW</t>
  </si>
  <si>
    <t>S2 4SU</t>
  </si>
  <si>
    <t>BD8 7DY</t>
  </si>
  <si>
    <t>ST6 1AW</t>
  </si>
  <si>
    <t>BL9 9HR</t>
  </si>
  <si>
    <t>SE7 8BL</t>
  </si>
  <si>
    <t>SE16 3LN</t>
  </si>
  <si>
    <t>OL1 2PA</t>
  </si>
  <si>
    <t>NN5 5QA</t>
  </si>
  <si>
    <t>FY7 6TX</t>
  </si>
  <si>
    <t>OX4 4XP</t>
  </si>
  <si>
    <t>S41 8NZ</t>
  </si>
  <si>
    <t>OL11 5DR</t>
  </si>
  <si>
    <t>PE2 8AL</t>
  </si>
  <si>
    <t>DN15 8TD</t>
  </si>
  <si>
    <t>BS7 0BF</t>
  </si>
  <si>
    <t>SY2 6ST</t>
  </si>
  <si>
    <t>MK1 1ST</t>
  </si>
  <si>
    <t>SS2 6NQ</t>
  </si>
  <si>
    <t>ME7 4DD</t>
  </si>
  <si>
    <t>SN1 2ED</t>
  </si>
  <si>
    <t>CV6 6GE</t>
  </si>
  <si>
    <t>WS1 4SA</t>
  </si>
  <si>
    <t>Weather Event</t>
  </si>
  <si>
    <t>Rain</t>
  </si>
  <si>
    <t>Fog,Rain</t>
  </si>
  <si>
    <t>Thunderstorm</t>
  </si>
  <si>
    <t>Rain,Snow</t>
  </si>
  <si>
    <t xml:space="preserve">Fog </t>
  </si>
  <si>
    <t>Fog</t>
  </si>
  <si>
    <t xml:space="preserve">Rain </t>
  </si>
  <si>
    <t>Rain Fog</t>
  </si>
  <si>
    <t>Cheapest Season T</t>
  </si>
  <si>
    <t>Lowest Home Ticket Price</t>
  </si>
  <si>
    <t>Lowest Away Ticket Price</t>
  </si>
  <si>
    <t>Average Travelling Fans</t>
  </si>
  <si>
    <t xml:space="preserve"> </t>
  </si>
  <si>
    <t>Day Type</t>
  </si>
  <si>
    <t>Hol Type</t>
  </si>
  <si>
    <t>§§§§</t>
  </si>
  <si>
    <t>Highest Home Ticket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</si>
</sst>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;@"/>
    <numFmt numFmtId="165" formatCode="0;[Red]0"/>
    <numFmt numFmtId="166" formatCode="0.00;[Red]0.00"/>
  </numFmts>
  <fonts count="2" x14ac:knownFonts="1">
    <font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164" fontId="0" fillId="0" borderId="0" xfId="0" applyNumberFormat="1"/>
    <xf numFmtId="0" fontId="0" fillId="0" borderId="0" xfId="0" applyNumberFormat="1"/>
    <xf numFmtId="0" fontId="0" fillId="2" borderId="0" xfId="0" applyFill="1" applyAlignment="1">
      <alignment wrapText="1"/>
    </xf>
    <xf numFmtId="164" fontId="0" fillId="2" borderId="0" xfId="0" applyNumberFormat="1" applyFill="1" applyAlignment="1">
      <alignment wrapText="1"/>
    </xf>
    <xf numFmtId="0" fontId="0" fillId="2" borderId="0" xfId="0" applyNumberFormat="1" applyFill="1" applyAlignment="1">
      <alignment wrapText="1"/>
    </xf>
    <xf numFmtId="0" fontId="0" fillId="0" borderId="0" xfId="0" applyAlignment="1">
      <alignment wrapText="1"/>
    </xf>
    <xf numFmtId="0" fontId="1" fillId="2" borderId="0" xfId="0" applyFont="1" applyFill="1" applyAlignment="1">
      <alignment wrapText="1"/>
    </xf>
    <xf numFmtId="165" fontId="0" fillId="2" borderId="0" xfId="0" applyNumberFormat="1" applyFill="1" applyAlignment="1">
      <alignment wrapText="1"/>
    </xf>
    <xf numFmtId="165" fontId="0" fillId="0" borderId="0" xfId="0" applyNumberFormat="1"/>
    <xf numFmtId="166" fontId="0" fillId="2" borderId="0" xfId="0" applyNumberFormat="1" applyFill="1" applyAlignment="1">
      <alignment horizontal="center" vertical="center" wrapText="1"/>
    </xf>
    <xf numFmtId="166" fontId="0" fillId="0" borderId="0" xfId="0" applyNumberFormat="1" applyAlignment="1">
      <alignment horizontal="center" vertical="center"/>
    </xf>
    <xf numFmtId="0" fontId="1" fillId="0" borderId="0" xfId="0" applyFont="1"/>
    <xf numFmtId="14" fontId="0" fillId="0" borderId="0" xfId="0" applyNumberFormat="1"/>
    <xf numFmtId="1" fontId="0" fillId="2" borderId="0" xfId="0" applyNumberFormat="1" applyFill="1" applyAlignment="1">
      <alignment wrapText="1"/>
    </xf>
    <xf numFmtId="1" fontId="0" fillId="0" borderId="0" xfId="0" applyNumberFormat="1" applyAlignment="1">
      <alignment horizontal="center" vertical="center"/>
    </xf>
    <xf numFmtId="1" fontId="0" fillId="0" borderId="0" xfId="0" applyNumberFormat="1"/>
    <xf numFmtId="0" fontId="0" fillId="2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554"/>
  <sheetViews>
    <sheetView tabSelected="1" zoomScale="90" workbookViewId="0">
      <pane xSplit="5" ySplit="1" topLeftCell="O2" activePane="bottomRight" state="frozen"/>
      <selection pane="topRight" activeCell="F1" sqref="F1"/>
      <selection pane="bottomLeft" activeCell="A2" sqref="A2"/>
      <selection pane="bottomRight" activeCell="Y2" sqref="Y2"/>
    </sheetView>
  </sheetViews>
  <sheetFormatPr baseColWidth="10" defaultRowHeight="16" x14ac:dyDescent="0.2"/>
  <cols>
    <col min="1" max="1" width="6.83203125" customWidth="1"/>
    <col min="2" max="2" width="11.33203125" style="1" customWidth="1"/>
    <col min="3" max="3" width="8.33203125" style="2" customWidth="1"/>
    <col min="4" max="4" width="15" customWidth="1"/>
    <col min="5" max="5" width="17.83203125" customWidth="1"/>
    <col min="6" max="7" width="4" customWidth="1"/>
    <col min="8" max="8" width="8.83203125" customWidth="1"/>
    <col min="9" max="9" width="9.5" customWidth="1"/>
    <col min="12" max="12" width="10.83203125" style="16"/>
    <col min="13" max="14" width="13" customWidth="1"/>
    <col min="17" max="17" width="10.83203125" style="9"/>
    <col min="18" max="19" width="12.33203125" customWidth="1"/>
    <col min="20" max="21" width="12.33203125" style="11" customWidth="1"/>
    <col min="22" max="23" width="12.33203125" customWidth="1"/>
    <col min="24" max="24" width="10.83203125" style="12"/>
  </cols>
  <sheetData>
    <row r="1" spans="1:25" s="6" customFormat="1" ht="29" customHeight="1" x14ac:dyDescent="0.2">
      <c r="A1" s="3" t="s">
        <v>83</v>
      </c>
      <c r="B1" s="4" t="s">
        <v>0</v>
      </c>
      <c r="C1" s="5" t="s">
        <v>28</v>
      </c>
      <c r="D1" s="3" t="s">
        <v>1</v>
      </c>
      <c r="E1" s="3" t="s">
        <v>2</v>
      </c>
      <c r="F1" s="3" t="s">
        <v>29</v>
      </c>
      <c r="G1" s="3" t="s">
        <v>81</v>
      </c>
      <c r="H1" s="3" t="s">
        <v>30</v>
      </c>
      <c r="I1" s="3" t="s">
        <v>82</v>
      </c>
      <c r="J1" s="3" t="s">
        <v>39</v>
      </c>
      <c r="K1" s="3" t="s">
        <v>79</v>
      </c>
      <c r="L1" s="14" t="s">
        <v>76</v>
      </c>
      <c r="M1" s="3" t="s">
        <v>36</v>
      </c>
      <c r="N1" s="3" t="s">
        <v>37</v>
      </c>
      <c r="O1" s="3" t="s">
        <v>33</v>
      </c>
      <c r="P1" s="3" t="s">
        <v>34</v>
      </c>
      <c r="Q1" s="8" t="s">
        <v>35</v>
      </c>
      <c r="R1" s="3" t="s">
        <v>38</v>
      </c>
      <c r="S1" s="3" t="s">
        <v>67</v>
      </c>
      <c r="T1" s="10" t="s">
        <v>77</v>
      </c>
      <c r="U1" s="10" t="s">
        <v>78</v>
      </c>
      <c r="V1" s="3" t="s">
        <v>41</v>
      </c>
      <c r="W1" s="3" t="s">
        <v>42</v>
      </c>
      <c r="X1" s="7" t="s">
        <v>40</v>
      </c>
      <c r="Y1" s="17" t="s">
        <v>84</v>
      </c>
    </row>
    <row r="2" spans="1:25" x14ac:dyDescent="0.2">
      <c r="A2" t="s">
        <v>3</v>
      </c>
      <c r="B2" s="1">
        <v>42588</v>
      </c>
      <c r="C2" s="2" t="str">
        <f t="shared" ref="C2" si="0">TEXT(B2,"ddd")</f>
        <v>Sat</v>
      </c>
      <c r="D2" t="s">
        <v>4</v>
      </c>
      <c r="E2" t="s">
        <v>5</v>
      </c>
      <c r="F2" t="str">
        <f t="shared" ref="F2" si="1">IF(C2="Sat","D",IF(C2="Sun","D","E"))</f>
        <v>D</v>
      </c>
      <c r="G2">
        <f>IF(F2="D",0,1)</f>
        <v>0</v>
      </c>
      <c r="H2" t="s">
        <v>32</v>
      </c>
      <c r="I2">
        <f>IF(H2="N",0,1)</f>
        <v>0</v>
      </c>
      <c r="J2">
        <v>28723</v>
      </c>
      <c r="K2" s="15">
        <f t="shared" ref="K2" si="2">IF(E2="AFC Wimbledon",622,IF(E2="Bolton",912,IF(E2="Bury",608,IF(E2="Bradford",1437,IF(E2="Bristol Rvs",1159,IF(E2="Charlton",680,IF(E2="Chesterfield",583,IF(E2="Coventry",1280,IF(E2="Gillingham",533,IF(E2="Millwall",827,IF(E2="Milton Keynes Dons",596,IF(E2="Northampton",843,IF(E2="Oldham",729,IF(E2="Oxford",1000,IF(E2="Peterboro",598,IF(E2="Port Vale",697,IF(E2="Rochdale",497,IF(E2="Scunthorpe",508,IF(E2="Sheffield United",1622,IF(E2="Southend",635,IF(E2="Shrewsbury",438,IF(E2="Swindon",503,IF(E2="Walsall",792,IF(E2="Fleetwood Town",210,"Unknown"))))))))))))))))))))))))</f>
        <v>1622</v>
      </c>
      <c r="L2" s="15">
        <f t="shared" ref="L2" si="3">IF(D2="AFC Wimbledon",260,IF(D2="Bolton",280,IF(D2="Bury",275,IF(D2="Bradford",149,IF(D2="Bristol Rvs",260,IF(D2="Charlton",175,IF(D2="Chesterfield",345,IF(D2="Coventry",299,IF(D2="Gillingham",285,IF(D2="Millwall",333,IF(D2="Milton Keynes Dons",312,IF(D2="Northampton",249,IF(D2="Oldham",300,IF(D2="Oxford",290,IF(D2="Peterboro",295,IF(D2="Port Vale",345,IF(D2="Rochdale",290,IF(D2="Scunthorpe",288,IF(D2="Sheffield United",288,IF(D2="Southend",395,IF(D2="Shrewsbury",285,IF(D2="Swindon",345,IF(D2="Walsall",253,IF(D2="Fleetwood Town",210,"Unknown"))))))))))))))))))))))))</f>
        <v>280</v>
      </c>
      <c r="M2">
        <v>1</v>
      </c>
      <c r="N2">
        <v>11</v>
      </c>
      <c r="O2">
        <v>0</v>
      </c>
      <c r="P2">
        <v>0</v>
      </c>
      <c r="Q2" s="9">
        <v>46</v>
      </c>
      <c r="R2">
        <v>17</v>
      </c>
      <c r="T2" s="11">
        <f t="shared" ref="T2" si="4">IF(D2="AFC Wimbledon",17,IF(D2="Bolton",15,IF(D2="Bury",18,IF(D2="Bradford",25,IF(D2="Bristol Rvs",18,IF(D2="Charlton",20,IF(D2="Chesterfield",22,IF(D2="Coventry",22,IF(D2="Gillingham",12,IF(D2="Millwall",22,IF(D2="Milton Keynes Dons",22,IF(D2="Northampton",24,IF(D2="Oldham",22,IF(D2="Oxford",20,IF(D2="Peterboro",21,IF(D2="Port Vale",22,IF(D2="Rochdale",17,IF(D2="Scunthorpe",18,IF(D2="Sheffield United",20,IF(D2="Southend",25,IF(D2="Shrewsbury",20,IF(D2="Swindon",19,IF(D2="Walsall",20,IF(D2="Fleetwood Town",21.5,"Unknown"))))))))))))))))))))))))</f>
        <v>15</v>
      </c>
      <c r="U2" s="11">
        <f t="shared" ref="U2" si="5">IF(D2="AFC Wimbledon",17,IF(D2="Bolton",15,IF(D2="Bury",18,IF(D2="Bradford",20,IF(D2="Bristol Rvs",16,IF(D2="Charlton",20,IF(D2="Chesterfield",20,IF(D2="Coventry",22,IF(D2="Gillingham",10,IF(D2="Millwall",23,IF(D2="Milton Keynes Dons",22,IF(D2="Northampton",24,IF(D2="Oldham",24,IF(D2="Oxford",21,IF(D2="Peterboro",20,IF(D2="Port Vale",22,IF(D2="Rochdale",22,IF(D2="Scunthorpe",22,IF(D2="Sheffield United",20,IF(D2="Southend",22,IF(D2="Shrewsbury",20,IF(D2="Swindon",19,IF(D2="Walsall",20,IF(D2="Fleetwood Town",21.5,"Unknown"))))))))))))))))))))))))</f>
        <v>15</v>
      </c>
      <c r="V2" t="s">
        <v>44</v>
      </c>
      <c r="W2" t="s">
        <v>45</v>
      </c>
      <c r="X2" s="12">
        <v>17050</v>
      </c>
      <c r="Y2" s="15">
        <f t="shared" ref="Y2:Y65" si="6">IF(D2="AFC Wimbledon",29,IF(D2="Bolton",30,IF(D2="Bury",22,IF(D2="Bradford",25,IF(D2="Bristol Rvs",26,IF(D2="Charlton",35,IF(D2="Chesterfield",26,IF(D2="Coventry",26,IF(D2="Gillingham",28,IF(D2="Millwall",30,IF(D2="Milton Keynes Dons",27,IF(D2="Northampton",24,IF(D2="Oldham",24,IF(D2="Oxford",24,IF(D2="Peterboro",26,IF(D2="Port Vale",23,IF(D2="Rochdale",22,IF(D2="Scunthorpe",23,IF(D2="Sheffield United",29,IF(D2="Southend",25,IF(D2="Shrewsbury",22,IF(D2="Swindon",25,IF(D2="Walsall",25.5,IF(D2="Fleetwood Town",23.5,"Unknown"))))))))))))))))))))))))</f>
        <v>30</v>
      </c>
    </row>
    <row r="3" spans="1:25" x14ac:dyDescent="0.2">
      <c r="A3" t="s">
        <v>3</v>
      </c>
      <c r="B3" s="1">
        <v>42588</v>
      </c>
      <c r="C3" s="2" t="str">
        <f t="shared" ref="C3:C66" si="7">TEXT(B3,"ddd")</f>
        <v>Sat</v>
      </c>
      <c r="D3" t="s">
        <v>6</v>
      </c>
      <c r="E3" t="s">
        <v>7</v>
      </c>
      <c r="F3" t="str">
        <f t="shared" ref="F3:F66" si="8">IF(C3="Sat","D",IF(C3="Sun","D","E"))</f>
        <v>D</v>
      </c>
      <c r="G3">
        <f t="shared" ref="G3:G66" si="9">IF(F3="D",0,1)</f>
        <v>0</v>
      </c>
      <c r="H3" t="s">
        <v>32</v>
      </c>
      <c r="I3">
        <f t="shared" ref="I3:I66" si="10">IF(H3="N",0,1)</f>
        <v>0</v>
      </c>
      <c r="J3">
        <v>25136</v>
      </c>
      <c r="K3" s="15">
        <f t="shared" ref="K3:K66" si="11">IF(E3="AFC Wimbledon",622,IF(E3="Bolton",912,IF(E3="Bury",608,IF(E3="Bradford",1437,IF(E3="Bristol Rvs",1159,IF(E3="Charlton",680,IF(E3="Chesterfield",583,IF(E3="Coventry",1280,IF(E3="Gillingham",533,IF(E3="Millwall",827,IF(E3="Milton Keynes Dons",596,IF(E3="Northampton",843,IF(E3="Oldham",729,IF(E3="Oxford",1000,IF(E3="Peterboro",598,IF(E3="Port Vale",697,IF(E3="Rochdale",497,IF(E3="Scunthorpe",508,IF(E3="Sheffield United",1622,IF(E3="Southend",635,IF(E3="Shrewsbury",438,IF(E3="Swindon",503,IF(E3="Walsall",792,IF(E3="Fleetwood Town",210,"Unknown"))))))))))))))))))))))))</f>
        <v>697</v>
      </c>
      <c r="L3" s="15">
        <f t="shared" ref="L3:L66" si="12">IF(D3="AFC Wimbledon",260,IF(D3="Bolton",280,IF(D3="Bury",275,IF(D3="Bradford",149,IF(D3="Bristol Rvs",260,IF(D3="Charlton",175,IF(D3="Chesterfield",345,IF(D3="Coventry",299,IF(D3="Gillingham",285,IF(D3="Millwall",333,IF(D3="Milton Keynes Dons",312,IF(D3="Northampton",249,IF(D3="Oldham",300,IF(D3="Oxford",290,IF(D3="Peterboro",295,IF(D3="Port Vale",345,IF(D3="Rochdale",290,IF(D3="Scunthorpe",288,IF(D3="Sheffield United",288,IF(D3="Southend",395,IF(D3="Shrewsbury",285,IF(D3="Swindon",345,IF(D3="Walsall",253,IF(D3="Fleetwood Town",210,"Unknown"))))))))))))))))))))))))</f>
        <v>149</v>
      </c>
      <c r="M3">
        <v>5</v>
      </c>
      <c r="N3">
        <v>12</v>
      </c>
      <c r="O3">
        <v>0</v>
      </c>
      <c r="P3">
        <v>0</v>
      </c>
      <c r="Q3" s="9">
        <v>55</v>
      </c>
      <c r="R3">
        <v>17</v>
      </c>
      <c r="T3" s="11">
        <f t="shared" ref="T3:T66" si="13">IF(D3="AFC Wimbledon",17,IF(D3="Bolton",15,IF(D3="Bury",18,IF(D3="Bradford",25,IF(D3="Bristol Rvs",18,IF(D3="Charlton",20,IF(D3="Chesterfield",22,IF(D3="Coventry",22,IF(D3="Gillingham",12,IF(D3="Millwall",22,IF(D3="Milton Keynes Dons",22,IF(D3="Northampton",24,IF(D3="Oldham",22,IF(D3="Oxford",20,IF(D3="Peterboro",21,IF(D3="Port Vale",22,IF(D3="Rochdale",17,IF(D3="Scunthorpe",18,IF(D3="Sheffield United",20,IF(D3="Southend",25,IF(D3="Shrewsbury",20,IF(D3="Swindon",19,IF(D3="Walsall",20,IF(D3="Fleetwood Town",21.5,"Unknown"))))))))))))))))))))))))</f>
        <v>25</v>
      </c>
      <c r="U3" s="11">
        <f t="shared" ref="U3:U66" si="14">IF(D3="AFC Wimbledon",17,IF(D3="Bolton",15,IF(D3="Bury",18,IF(D3="Bradford",20,IF(D3="Bristol Rvs",16,IF(D3="Charlton",20,IF(D3="Chesterfield",20,IF(D3="Coventry",22,IF(D3="Gillingham",10,IF(D3="Millwall",23,IF(D3="Milton Keynes Dons",22,IF(D3="Northampton",24,IF(D3="Oldham",24,IF(D3="Oxford",21,IF(D3="Peterboro",20,IF(D3="Port Vale",22,IF(D3="Rochdale",22,IF(D3="Scunthorpe",22,IF(D3="Sheffield United",20,IF(D3="Southend",22,IF(D3="Shrewsbury",20,IF(D3="Swindon",19,IF(D3="Walsall",20,IF(D3="Fleetwood Town",21.5,"Unknown"))))))))))))))))))))))))</f>
        <v>20</v>
      </c>
      <c r="V3" t="s">
        <v>46</v>
      </c>
      <c r="W3" t="s">
        <v>47</v>
      </c>
      <c r="X3" s="12">
        <v>18558</v>
      </c>
      <c r="Y3" s="15">
        <f t="shared" si="6"/>
        <v>25</v>
      </c>
    </row>
    <row r="4" spans="1:25" x14ac:dyDescent="0.2">
      <c r="A4" t="s">
        <v>3</v>
      </c>
      <c r="B4" s="1">
        <v>42588</v>
      </c>
      <c r="C4" s="2" t="str">
        <f t="shared" si="7"/>
        <v>Sat</v>
      </c>
      <c r="D4" t="s">
        <v>8</v>
      </c>
      <c r="E4" t="s">
        <v>9</v>
      </c>
      <c r="F4" t="str">
        <f t="shared" si="8"/>
        <v>D</v>
      </c>
      <c r="G4">
        <f t="shared" si="9"/>
        <v>0</v>
      </c>
      <c r="H4" t="s">
        <v>32</v>
      </c>
      <c r="I4">
        <f t="shared" si="10"/>
        <v>0</v>
      </c>
      <c r="J4">
        <v>11841</v>
      </c>
      <c r="K4" s="15">
        <f t="shared" si="11"/>
        <v>680</v>
      </c>
      <c r="L4" s="15">
        <f t="shared" si="12"/>
        <v>275</v>
      </c>
      <c r="M4">
        <v>16</v>
      </c>
      <c r="N4">
        <v>1</v>
      </c>
      <c r="O4">
        <v>0</v>
      </c>
      <c r="P4">
        <v>0</v>
      </c>
      <c r="Q4" s="9">
        <v>175</v>
      </c>
      <c r="R4">
        <v>17</v>
      </c>
      <c r="T4" s="11">
        <f t="shared" si="13"/>
        <v>18</v>
      </c>
      <c r="U4" s="11">
        <f t="shared" si="14"/>
        <v>18</v>
      </c>
      <c r="V4" t="s">
        <v>48</v>
      </c>
      <c r="W4" t="s">
        <v>49</v>
      </c>
      <c r="X4" s="12">
        <v>4037</v>
      </c>
      <c r="Y4" s="15">
        <f t="shared" si="6"/>
        <v>22</v>
      </c>
    </row>
    <row r="5" spans="1:25" x14ac:dyDescent="0.2">
      <c r="A5" t="s">
        <v>3</v>
      </c>
      <c r="B5" s="1">
        <v>42588</v>
      </c>
      <c r="C5" s="2" t="str">
        <f t="shared" si="7"/>
        <v>Sat</v>
      </c>
      <c r="D5" t="s">
        <v>10</v>
      </c>
      <c r="E5" t="s">
        <v>11</v>
      </c>
      <c r="F5" t="str">
        <f t="shared" si="8"/>
        <v>D</v>
      </c>
      <c r="G5">
        <f t="shared" si="9"/>
        <v>0</v>
      </c>
      <c r="H5" t="s">
        <v>32</v>
      </c>
      <c r="I5">
        <f t="shared" si="10"/>
        <v>0</v>
      </c>
      <c r="J5">
        <v>20146</v>
      </c>
      <c r="K5" s="15">
        <f t="shared" si="11"/>
        <v>729</v>
      </c>
      <c r="L5" s="15">
        <f t="shared" si="12"/>
        <v>333</v>
      </c>
      <c r="M5">
        <v>4</v>
      </c>
      <c r="N5">
        <v>17</v>
      </c>
      <c r="O5">
        <v>0</v>
      </c>
      <c r="P5">
        <v>0</v>
      </c>
      <c r="Q5" s="9">
        <v>167</v>
      </c>
      <c r="R5">
        <v>20</v>
      </c>
      <c r="T5" s="11">
        <f t="shared" si="13"/>
        <v>22</v>
      </c>
      <c r="U5" s="11">
        <f t="shared" si="14"/>
        <v>23</v>
      </c>
      <c r="V5" t="s">
        <v>50</v>
      </c>
      <c r="W5" t="s">
        <v>51</v>
      </c>
      <c r="X5" s="12">
        <v>9787</v>
      </c>
      <c r="Y5" s="15">
        <f t="shared" si="6"/>
        <v>30</v>
      </c>
    </row>
    <row r="6" spans="1:25" x14ac:dyDescent="0.2">
      <c r="A6" t="s">
        <v>3</v>
      </c>
      <c r="B6" s="1">
        <v>42588</v>
      </c>
      <c r="C6" s="2" t="str">
        <f t="shared" si="7"/>
        <v>Sat</v>
      </c>
      <c r="D6" t="s">
        <v>12</v>
      </c>
      <c r="E6" t="s">
        <v>13</v>
      </c>
      <c r="F6" t="str">
        <f t="shared" si="8"/>
        <v>D</v>
      </c>
      <c r="G6">
        <f t="shared" si="9"/>
        <v>0</v>
      </c>
      <c r="H6" t="s">
        <v>32</v>
      </c>
      <c r="I6">
        <f t="shared" si="10"/>
        <v>0</v>
      </c>
      <c r="J6">
        <v>7653</v>
      </c>
      <c r="K6" s="15">
        <f t="shared" si="11"/>
        <v>210</v>
      </c>
      <c r="L6" s="15">
        <f t="shared" si="12"/>
        <v>249</v>
      </c>
      <c r="M6">
        <v>24</v>
      </c>
      <c r="N6">
        <v>19</v>
      </c>
      <c r="O6">
        <v>0</v>
      </c>
      <c r="P6">
        <v>0</v>
      </c>
      <c r="Q6" s="9">
        <v>145</v>
      </c>
      <c r="R6">
        <v>18</v>
      </c>
      <c r="T6" s="11">
        <f t="shared" si="13"/>
        <v>24</v>
      </c>
      <c r="U6" s="11">
        <f t="shared" si="14"/>
        <v>24</v>
      </c>
      <c r="V6" t="s">
        <v>52</v>
      </c>
      <c r="W6" t="s">
        <v>53</v>
      </c>
      <c r="X6" s="12">
        <v>5157</v>
      </c>
      <c r="Y6" s="15">
        <f t="shared" si="6"/>
        <v>24</v>
      </c>
    </row>
    <row r="7" spans="1:25" x14ac:dyDescent="0.2">
      <c r="A7" t="s">
        <v>3</v>
      </c>
      <c r="B7" s="1">
        <v>42588</v>
      </c>
      <c r="C7" s="2" t="str">
        <f t="shared" si="7"/>
        <v>Sat</v>
      </c>
      <c r="D7" t="s">
        <v>14</v>
      </c>
      <c r="E7" t="s">
        <v>15</v>
      </c>
      <c r="F7" t="str">
        <f t="shared" si="8"/>
        <v>D</v>
      </c>
      <c r="G7">
        <f t="shared" si="9"/>
        <v>0</v>
      </c>
      <c r="H7" t="s">
        <v>32</v>
      </c>
      <c r="I7">
        <f t="shared" si="10"/>
        <v>0</v>
      </c>
      <c r="J7">
        <v>12500</v>
      </c>
      <c r="K7" s="15">
        <f t="shared" si="11"/>
        <v>583</v>
      </c>
      <c r="L7" s="15">
        <f t="shared" si="12"/>
        <v>290</v>
      </c>
      <c r="M7">
        <v>24</v>
      </c>
      <c r="N7">
        <v>18</v>
      </c>
      <c r="O7">
        <v>0</v>
      </c>
      <c r="P7">
        <v>0</v>
      </c>
      <c r="Q7" s="9">
        <v>107</v>
      </c>
      <c r="R7">
        <v>17</v>
      </c>
      <c r="T7" s="11">
        <f t="shared" si="13"/>
        <v>20</v>
      </c>
      <c r="U7" s="11">
        <f t="shared" si="14"/>
        <v>21</v>
      </c>
      <c r="V7" t="s">
        <v>54</v>
      </c>
      <c r="W7" t="s">
        <v>55</v>
      </c>
      <c r="X7" s="12">
        <v>8679</v>
      </c>
      <c r="Y7" s="15">
        <f t="shared" si="6"/>
        <v>24</v>
      </c>
    </row>
    <row r="8" spans="1:25" x14ac:dyDescent="0.2">
      <c r="A8" t="s">
        <v>3</v>
      </c>
      <c r="B8" s="1">
        <v>42588</v>
      </c>
      <c r="C8" s="2" t="str">
        <f t="shared" si="7"/>
        <v>Sat</v>
      </c>
      <c r="D8" t="s">
        <v>16</v>
      </c>
      <c r="E8" t="s">
        <v>17</v>
      </c>
      <c r="F8" t="str">
        <f t="shared" si="8"/>
        <v>D</v>
      </c>
      <c r="G8">
        <f t="shared" si="9"/>
        <v>0</v>
      </c>
      <c r="H8" t="s">
        <v>32</v>
      </c>
      <c r="I8">
        <f t="shared" si="10"/>
        <v>0</v>
      </c>
      <c r="J8">
        <v>10249</v>
      </c>
      <c r="K8" s="15">
        <f t="shared" si="11"/>
        <v>598</v>
      </c>
      <c r="L8" s="15">
        <f t="shared" si="12"/>
        <v>290</v>
      </c>
      <c r="M8">
        <v>10</v>
      </c>
      <c r="N8">
        <v>13</v>
      </c>
      <c r="O8">
        <v>0</v>
      </c>
      <c r="P8">
        <v>0</v>
      </c>
      <c r="Q8" s="9">
        <v>109</v>
      </c>
      <c r="R8">
        <v>17</v>
      </c>
      <c r="T8" s="11">
        <f t="shared" si="13"/>
        <v>17</v>
      </c>
      <c r="U8" s="11">
        <f t="shared" si="14"/>
        <v>22</v>
      </c>
      <c r="V8" t="s">
        <v>56</v>
      </c>
      <c r="W8" t="s">
        <v>57</v>
      </c>
      <c r="X8" s="12">
        <v>3243</v>
      </c>
      <c r="Y8" s="15">
        <f t="shared" si="6"/>
        <v>22</v>
      </c>
    </row>
    <row r="9" spans="1:25" x14ac:dyDescent="0.2">
      <c r="A9" t="s">
        <v>3</v>
      </c>
      <c r="B9" s="1">
        <v>42588</v>
      </c>
      <c r="C9" s="2" t="str">
        <f t="shared" si="7"/>
        <v>Sat</v>
      </c>
      <c r="D9" t="s">
        <v>18</v>
      </c>
      <c r="E9" t="s">
        <v>19</v>
      </c>
      <c r="F9" t="str">
        <f t="shared" si="8"/>
        <v>D</v>
      </c>
      <c r="G9">
        <f t="shared" si="9"/>
        <v>0</v>
      </c>
      <c r="H9" t="s">
        <v>32</v>
      </c>
      <c r="I9">
        <f t="shared" si="10"/>
        <v>0</v>
      </c>
      <c r="J9">
        <v>9183</v>
      </c>
      <c r="K9" s="15">
        <f t="shared" si="11"/>
        <v>1159</v>
      </c>
      <c r="L9" s="15">
        <f t="shared" si="12"/>
        <v>288</v>
      </c>
      <c r="M9">
        <v>7</v>
      </c>
      <c r="N9">
        <v>24</v>
      </c>
      <c r="O9">
        <v>0</v>
      </c>
      <c r="P9">
        <v>0</v>
      </c>
      <c r="Q9" s="9">
        <v>165</v>
      </c>
      <c r="R9">
        <v>18</v>
      </c>
      <c r="T9" s="11">
        <f t="shared" si="13"/>
        <v>18</v>
      </c>
      <c r="U9" s="11">
        <f t="shared" si="14"/>
        <v>22</v>
      </c>
      <c r="V9" t="s">
        <v>58</v>
      </c>
      <c r="W9" t="s">
        <v>59</v>
      </c>
      <c r="X9" s="12">
        <v>4636</v>
      </c>
      <c r="Y9" s="15">
        <f t="shared" si="6"/>
        <v>23</v>
      </c>
    </row>
    <row r="10" spans="1:25" x14ac:dyDescent="0.2">
      <c r="A10" t="s">
        <v>3</v>
      </c>
      <c r="B10" s="1">
        <v>42588</v>
      </c>
      <c r="C10" s="2" t="str">
        <f t="shared" si="7"/>
        <v>Sat</v>
      </c>
      <c r="D10" t="s">
        <v>20</v>
      </c>
      <c r="E10" t="s">
        <v>21</v>
      </c>
      <c r="F10" t="str">
        <f t="shared" si="8"/>
        <v>D</v>
      </c>
      <c r="G10">
        <f t="shared" si="9"/>
        <v>0</v>
      </c>
      <c r="H10" t="s">
        <v>32</v>
      </c>
      <c r="I10">
        <f t="shared" si="10"/>
        <v>0</v>
      </c>
      <c r="J10">
        <v>9875</v>
      </c>
      <c r="K10" s="15">
        <f t="shared" si="11"/>
        <v>596</v>
      </c>
      <c r="L10" s="15">
        <f t="shared" si="12"/>
        <v>285</v>
      </c>
      <c r="M10">
        <v>20</v>
      </c>
      <c r="N10">
        <v>1</v>
      </c>
      <c r="O10">
        <v>0</v>
      </c>
      <c r="P10">
        <v>0</v>
      </c>
      <c r="Q10" s="9">
        <v>97</v>
      </c>
      <c r="R10">
        <v>18</v>
      </c>
      <c r="S10" t="s">
        <v>73</v>
      </c>
      <c r="T10" s="11">
        <f t="shared" si="13"/>
        <v>20</v>
      </c>
      <c r="U10" s="11">
        <f t="shared" si="14"/>
        <v>20</v>
      </c>
      <c r="V10" t="s">
        <v>60</v>
      </c>
      <c r="W10" t="s">
        <v>61</v>
      </c>
      <c r="X10" s="12">
        <v>5452</v>
      </c>
      <c r="Y10" s="15">
        <f t="shared" si="6"/>
        <v>22</v>
      </c>
    </row>
    <row r="11" spans="1:25" x14ac:dyDescent="0.2">
      <c r="A11" t="s">
        <v>3</v>
      </c>
      <c r="B11" s="1">
        <v>42588</v>
      </c>
      <c r="C11" s="2" t="str">
        <f t="shared" si="7"/>
        <v>Sat</v>
      </c>
      <c r="D11" t="s">
        <v>22</v>
      </c>
      <c r="E11" t="s">
        <v>23</v>
      </c>
      <c r="F11" t="str">
        <f t="shared" si="8"/>
        <v>D</v>
      </c>
      <c r="G11">
        <f t="shared" si="9"/>
        <v>0</v>
      </c>
      <c r="H11" t="s">
        <v>32</v>
      </c>
      <c r="I11">
        <f t="shared" si="10"/>
        <v>0</v>
      </c>
      <c r="J11">
        <v>12392</v>
      </c>
      <c r="K11" s="15">
        <f t="shared" si="11"/>
        <v>533</v>
      </c>
      <c r="L11" s="15">
        <f t="shared" si="12"/>
        <v>395</v>
      </c>
      <c r="M11">
        <v>14</v>
      </c>
      <c r="N11">
        <v>9</v>
      </c>
      <c r="O11">
        <v>0</v>
      </c>
      <c r="P11">
        <v>0</v>
      </c>
      <c r="Q11" s="9">
        <v>13</v>
      </c>
      <c r="R11">
        <v>13</v>
      </c>
      <c r="T11" s="11">
        <f t="shared" si="13"/>
        <v>25</v>
      </c>
      <c r="U11" s="11">
        <f t="shared" si="14"/>
        <v>22</v>
      </c>
      <c r="V11" t="s">
        <v>62</v>
      </c>
      <c r="W11" t="s">
        <v>63</v>
      </c>
      <c r="X11" s="12">
        <v>8141</v>
      </c>
      <c r="Y11" s="15">
        <f t="shared" si="6"/>
        <v>25</v>
      </c>
    </row>
    <row r="12" spans="1:25" x14ac:dyDescent="0.2">
      <c r="A12" t="s">
        <v>3</v>
      </c>
      <c r="B12" s="1">
        <v>42588</v>
      </c>
      <c r="C12" s="2" t="str">
        <f t="shared" si="7"/>
        <v>Sat</v>
      </c>
      <c r="D12" t="s">
        <v>24</v>
      </c>
      <c r="E12" t="s">
        <v>25</v>
      </c>
      <c r="F12" t="str">
        <f t="shared" si="8"/>
        <v>D</v>
      </c>
      <c r="G12">
        <f t="shared" si="9"/>
        <v>0</v>
      </c>
      <c r="H12" t="s">
        <v>32</v>
      </c>
      <c r="I12">
        <f t="shared" si="10"/>
        <v>0</v>
      </c>
      <c r="J12">
        <v>15728</v>
      </c>
      <c r="K12" s="15">
        <f t="shared" si="11"/>
        <v>1280</v>
      </c>
      <c r="L12" s="15">
        <f t="shared" si="12"/>
        <v>345</v>
      </c>
      <c r="M12">
        <v>15</v>
      </c>
      <c r="N12">
        <v>8</v>
      </c>
      <c r="O12">
        <v>0</v>
      </c>
      <c r="P12">
        <v>0</v>
      </c>
      <c r="Q12" s="9">
        <v>62</v>
      </c>
      <c r="R12">
        <v>17</v>
      </c>
      <c r="S12" t="s">
        <v>68</v>
      </c>
      <c r="T12" s="11">
        <f t="shared" si="13"/>
        <v>19</v>
      </c>
      <c r="U12" s="11">
        <f t="shared" si="14"/>
        <v>19</v>
      </c>
      <c r="V12" t="s">
        <v>64</v>
      </c>
      <c r="W12" t="s">
        <v>65</v>
      </c>
      <c r="X12" s="12">
        <v>9023</v>
      </c>
      <c r="Y12" s="15">
        <f t="shared" si="6"/>
        <v>25</v>
      </c>
    </row>
    <row r="13" spans="1:25" x14ac:dyDescent="0.2">
      <c r="A13" t="s">
        <v>3</v>
      </c>
      <c r="B13" s="1">
        <v>42588</v>
      </c>
      <c r="C13" s="2" t="str">
        <f t="shared" si="7"/>
        <v>Sat</v>
      </c>
      <c r="D13" t="s">
        <v>26</v>
      </c>
      <c r="E13" t="s">
        <v>27</v>
      </c>
      <c r="F13" t="str">
        <f t="shared" si="8"/>
        <v>D</v>
      </c>
      <c r="G13">
        <f t="shared" si="9"/>
        <v>0</v>
      </c>
      <c r="H13" t="s">
        <v>32</v>
      </c>
      <c r="I13">
        <f t="shared" si="10"/>
        <v>0</v>
      </c>
      <c r="J13">
        <v>11300</v>
      </c>
      <c r="K13" s="15">
        <f t="shared" si="11"/>
        <v>622</v>
      </c>
      <c r="L13" s="15">
        <f t="shared" si="12"/>
        <v>253</v>
      </c>
      <c r="M13">
        <v>3</v>
      </c>
      <c r="N13">
        <v>24</v>
      </c>
      <c r="O13">
        <v>0</v>
      </c>
      <c r="P13">
        <v>0</v>
      </c>
      <c r="Q13" s="9">
        <v>108</v>
      </c>
      <c r="R13">
        <v>17</v>
      </c>
      <c r="T13" s="11">
        <f t="shared" si="13"/>
        <v>20</v>
      </c>
      <c r="U13" s="11">
        <f t="shared" si="14"/>
        <v>20</v>
      </c>
      <c r="V13" t="s">
        <v>66</v>
      </c>
      <c r="W13" t="s">
        <v>43</v>
      </c>
      <c r="X13" s="12">
        <v>5845</v>
      </c>
      <c r="Y13" s="15">
        <f t="shared" si="6"/>
        <v>25.5</v>
      </c>
    </row>
    <row r="14" spans="1:25" x14ac:dyDescent="0.2">
      <c r="A14" t="s">
        <v>3</v>
      </c>
      <c r="B14" s="1">
        <v>42595</v>
      </c>
      <c r="C14" s="2" t="str">
        <f t="shared" si="7"/>
        <v>Sat</v>
      </c>
      <c r="D14" t="s">
        <v>27</v>
      </c>
      <c r="E14" t="s">
        <v>4</v>
      </c>
      <c r="F14" t="str">
        <f t="shared" si="8"/>
        <v>D</v>
      </c>
      <c r="G14">
        <f t="shared" si="9"/>
        <v>0</v>
      </c>
      <c r="H14" t="s">
        <v>32</v>
      </c>
      <c r="I14">
        <f t="shared" si="10"/>
        <v>0</v>
      </c>
      <c r="J14">
        <v>4850</v>
      </c>
      <c r="K14" s="15">
        <f t="shared" si="11"/>
        <v>912</v>
      </c>
      <c r="L14" s="15">
        <f t="shared" si="12"/>
        <v>260</v>
      </c>
      <c r="M14">
        <v>22</v>
      </c>
      <c r="N14">
        <v>8</v>
      </c>
      <c r="O14">
        <v>3</v>
      </c>
      <c r="P14">
        <v>3</v>
      </c>
      <c r="Q14" s="9">
        <v>177</v>
      </c>
      <c r="R14">
        <v>23</v>
      </c>
      <c r="T14" s="11">
        <f t="shared" si="13"/>
        <v>17</v>
      </c>
      <c r="U14" s="11">
        <f t="shared" si="14"/>
        <v>17</v>
      </c>
      <c r="V14" t="s">
        <v>43</v>
      </c>
      <c r="W14" t="s">
        <v>44</v>
      </c>
      <c r="X14" s="12">
        <v>4619</v>
      </c>
      <c r="Y14" s="15">
        <f t="shared" si="6"/>
        <v>29</v>
      </c>
    </row>
    <row r="15" spans="1:25" x14ac:dyDescent="0.2">
      <c r="A15" t="s">
        <v>3</v>
      </c>
      <c r="B15" s="1">
        <v>42595</v>
      </c>
      <c r="C15" s="2" t="str">
        <f t="shared" si="7"/>
        <v>Sat</v>
      </c>
      <c r="D15" t="s">
        <v>9</v>
      </c>
      <c r="E15" t="s">
        <v>12</v>
      </c>
      <c r="F15" t="str">
        <f t="shared" si="8"/>
        <v>D</v>
      </c>
      <c r="G15">
        <f t="shared" si="9"/>
        <v>0</v>
      </c>
      <c r="H15" t="s">
        <v>32</v>
      </c>
      <c r="I15">
        <f t="shared" si="10"/>
        <v>0</v>
      </c>
      <c r="J15">
        <v>26875</v>
      </c>
      <c r="K15" s="15">
        <f t="shared" si="11"/>
        <v>843</v>
      </c>
      <c r="L15" s="15">
        <f t="shared" si="12"/>
        <v>175</v>
      </c>
      <c r="M15">
        <v>23</v>
      </c>
      <c r="N15">
        <v>12</v>
      </c>
      <c r="O15">
        <v>0</v>
      </c>
      <c r="P15">
        <v>1</v>
      </c>
      <c r="Q15" s="9">
        <v>66</v>
      </c>
      <c r="R15">
        <v>20</v>
      </c>
      <c r="T15" s="11">
        <f t="shared" si="13"/>
        <v>20</v>
      </c>
      <c r="U15" s="11">
        <f t="shared" si="14"/>
        <v>20</v>
      </c>
      <c r="V15" t="str">
        <f t="shared" ref="V15:V78" si="15">IF(D15="Bolton","BL6 6JW",IF(D15="Bradford","BD8 7DY",IF(D15="Bury","BL9 9HR",IF(D15="Millwall","SE16 3LN",IF(D15="Northampton","NN5 5QA",IF(D15="Oxford","OX4 4XP",IF(D15="Rochdale","OL11 5DR",IF(D15="Scunthorpe","DN15 8TD",IF(D15="Shrewsbury","SY2 6ST",IF(D15="Southend","SS2 6NQ",IF(D15="Swindon","SN1 2ED",IF(D15="Walsall","WS1 4SA",IF(D15="Sheffield United","S2 4SU",IF(D15="Port Vale","ST6 1AW",IF(D15="Charlton","SE7 8BL",IF(D15="Oldham","OL1 2PA",IF(D15="Fleetwood Town","FY7 6TX",IF(D15="Chesterfield","S41 8NZ",IF(D15="Peterboro","PE2 8AL",IF(D15="Bristol Rvs","BS7 0BF",IF(D15="Milton Keynes Dons","MK1 1ST",IF(D15="Gillingham","ME7 4DD",IF(D15="Coventry","CV6 6GE",IF(D15="AFC Wimbledon","KT1 3PB"))))))))))))))))))))))))</f>
        <v>SE7 8BL</v>
      </c>
      <c r="W15" t="str">
        <f t="shared" ref="W15:W78" si="16">IF(E15="Bolton","BL6 6JW",IF(E15="Bradford","BD8 7DY",IF(E15="Bury","BL9 9HR",IF(E15="Millwall","SE16 3LN",IF(E15="Northampton","NN5 5QA",IF(E15="Oxford","OX4 4XP",IF(E15="Rochdale","OL11 5DR",IF(E15="Scunthorpe","DN15 8TD",IF(E15="Shrewsbury","SY2 6ST",IF(E15="Southend","SS2 6NQ",IF(E15="Swindon","SN1 2ED",IF(E15="Walsall","WS1 4SA",IF(E15="Sheffield United","S2 4SU",IF(E15="Port Vale","ST6 1AW",IF(E15="Charlton","SE7 8BL",IF(E15="Oldham","OL1 2PA",IF(E15="Fleetwood Town","FY7 6TX",IF(E15="Chesterfield","S41 8NZ",IF(E15="Peterboro","PE2 8AL",IF(E15="Bristol Rvs","BS7 0BF",IF(E15="Milton Keynes Dons","MK1 1ST",IF(E15="Gillingham","ME7 4DD",IF(E15="Coventry","CV6 6GE",IF(E15="AFC Wimbledon","KT1 3PB"))))))))))))))))))))))))</f>
        <v>NN5 5QA</v>
      </c>
      <c r="X15" s="12">
        <v>11567</v>
      </c>
      <c r="Y15" s="15">
        <f t="shared" si="6"/>
        <v>35</v>
      </c>
    </row>
    <row r="16" spans="1:25" x14ac:dyDescent="0.2">
      <c r="A16" t="s">
        <v>3</v>
      </c>
      <c r="B16" s="1">
        <v>42595</v>
      </c>
      <c r="C16" s="2" t="str">
        <f t="shared" si="7"/>
        <v>Sat</v>
      </c>
      <c r="D16" t="s">
        <v>15</v>
      </c>
      <c r="E16" t="s">
        <v>24</v>
      </c>
      <c r="F16" t="str">
        <f t="shared" si="8"/>
        <v>D</v>
      </c>
      <c r="G16">
        <f t="shared" si="9"/>
        <v>0</v>
      </c>
      <c r="H16" t="s">
        <v>32</v>
      </c>
      <c r="I16">
        <f t="shared" si="10"/>
        <v>0</v>
      </c>
      <c r="J16">
        <v>10504</v>
      </c>
      <c r="K16" s="15">
        <f t="shared" si="11"/>
        <v>503</v>
      </c>
      <c r="L16" s="15">
        <f t="shared" si="12"/>
        <v>345</v>
      </c>
      <c r="M16">
        <v>10</v>
      </c>
      <c r="N16">
        <v>9</v>
      </c>
      <c r="O16">
        <v>1</v>
      </c>
      <c r="P16">
        <v>3</v>
      </c>
      <c r="Q16" s="9">
        <v>117</v>
      </c>
      <c r="R16">
        <v>19</v>
      </c>
      <c r="T16" s="11">
        <f t="shared" si="13"/>
        <v>22</v>
      </c>
      <c r="U16" s="11">
        <f t="shared" si="14"/>
        <v>20</v>
      </c>
      <c r="V16" t="str">
        <f t="shared" si="15"/>
        <v>S41 8NZ</v>
      </c>
      <c r="W16" t="str">
        <f t="shared" si="16"/>
        <v>SN1 2ED</v>
      </c>
      <c r="X16" s="12">
        <v>5378</v>
      </c>
      <c r="Y16" s="15">
        <f t="shared" si="6"/>
        <v>26</v>
      </c>
    </row>
    <row r="17" spans="1:25" x14ac:dyDescent="0.2">
      <c r="A17" t="s">
        <v>3</v>
      </c>
      <c r="B17" s="1">
        <v>42595</v>
      </c>
      <c r="C17" s="2" t="str">
        <f t="shared" si="7"/>
        <v>Sat</v>
      </c>
      <c r="D17" t="s">
        <v>25</v>
      </c>
      <c r="E17" t="s">
        <v>20</v>
      </c>
      <c r="F17" t="str">
        <f t="shared" si="8"/>
        <v>D</v>
      </c>
      <c r="G17">
        <f t="shared" si="9"/>
        <v>0</v>
      </c>
      <c r="H17" t="s">
        <v>32</v>
      </c>
      <c r="I17">
        <f t="shared" si="10"/>
        <v>0</v>
      </c>
      <c r="J17">
        <v>32609</v>
      </c>
      <c r="K17" s="15">
        <f t="shared" si="11"/>
        <v>438</v>
      </c>
      <c r="L17" s="15">
        <f t="shared" si="12"/>
        <v>299</v>
      </c>
      <c r="M17">
        <v>17</v>
      </c>
      <c r="N17">
        <v>19</v>
      </c>
      <c r="O17">
        <v>0</v>
      </c>
      <c r="P17">
        <v>0</v>
      </c>
      <c r="Q17" s="9">
        <v>55</v>
      </c>
      <c r="R17">
        <v>20</v>
      </c>
      <c r="T17" s="11">
        <f t="shared" si="13"/>
        <v>22</v>
      </c>
      <c r="U17" s="11">
        <f t="shared" si="14"/>
        <v>22</v>
      </c>
      <c r="V17" t="str">
        <f t="shared" si="15"/>
        <v>CV6 6GE</v>
      </c>
      <c r="W17" t="str">
        <f t="shared" si="16"/>
        <v>SY2 6ST</v>
      </c>
      <c r="X17" s="12">
        <v>10296</v>
      </c>
      <c r="Y17" s="15">
        <f t="shared" si="6"/>
        <v>26</v>
      </c>
    </row>
    <row r="18" spans="1:25" x14ac:dyDescent="0.2">
      <c r="A18" t="s">
        <v>3</v>
      </c>
      <c r="B18" s="1">
        <v>42595</v>
      </c>
      <c r="C18" s="2" t="str">
        <f t="shared" si="7"/>
        <v>Sat</v>
      </c>
      <c r="D18" t="s">
        <v>13</v>
      </c>
      <c r="E18" t="s">
        <v>18</v>
      </c>
      <c r="F18" t="str">
        <f t="shared" si="8"/>
        <v>D</v>
      </c>
      <c r="G18">
        <f t="shared" si="9"/>
        <v>0</v>
      </c>
      <c r="H18" t="s">
        <v>32</v>
      </c>
      <c r="I18">
        <f t="shared" si="10"/>
        <v>0</v>
      </c>
      <c r="J18">
        <v>5327</v>
      </c>
      <c r="K18" s="15">
        <f t="shared" si="11"/>
        <v>508</v>
      </c>
      <c r="L18" s="15">
        <f t="shared" si="12"/>
        <v>210</v>
      </c>
      <c r="M18">
        <v>11</v>
      </c>
      <c r="N18">
        <v>3</v>
      </c>
      <c r="O18">
        <v>1</v>
      </c>
      <c r="P18">
        <v>0</v>
      </c>
      <c r="Q18" s="9">
        <v>98</v>
      </c>
      <c r="R18">
        <v>16</v>
      </c>
      <c r="T18" s="11">
        <f t="shared" si="13"/>
        <v>21.5</v>
      </c>
      <c r="U18" s="11">
        <f t="shared" si="14"/>
        <v>21.5</v>
      </c>
      <c r="V18" t="str">
        <f t="shared" si="15"/>
        <v>FY7 6TX</v>
      </c>
      <c r="W18" t="str">
        <f t="shared" si="16"/>
        <v>DN15 8TD</v>
      </c>
      <c r="X18" s="12">
        <v>2509</v>
      </c>
      <c r="Y18" s="15">
        <f t="shared" si="6"/>
        <v>23.5</v>
      </c>
    </row>
    <row r="19" spans="1:25" x14ac:dyDescent="0.2">
      <c r="A19" t="s">
        <v>3</v>
      </c>
      <c r="B19" s="1">
        <v>42595</v>
      </c>
      <c r="C19" s="2" t="str">
        <f t="shared" si="7"/>
        <v>Sat</v>
      </c>
      <c r="D19" t="s">
        <v>23</v>
      </c>
      <c r="E19" t="s">
        <v>8</v>
      </c>
      <c r="F19" t="str">
        <f t="shared" si="8"/>
        <v>D</v>
      </c>
      <c r="G19">
        <f t="shared" si="9"/>
        <v>0</v>
      </c>
      <c r="H19" t="s">
        <v>32</v>
      </c>
      <c r="I19">
        <f t="shared" si="10"/>
        <v>0</v>
      </c>
      <c r="J19">
        <v>11582</v>
      </c>
      <c r="K19" s="15">
        <f t="shared" si="11"/>
        <v>608</v>
      </c>
      <c r="L19" s="15">
        <f t="shared" si="12"/>
        <v>285</v>
      </c>
      <c r="M19">
        <v>4</v>
      </c>
      <c r="N19">
        <v>5</v>
      </c>
      <c r="O19">
        <v>3</v>
      </c>
      <c r="P19">
        <v>3</v>
      </c>
      <c r="Q19" s="9">
        <v>193</v>
      </c>
      <c r="R19">
        <v>21</v>
      </c>
      <c r="T19" s="11">
        <f t="shared" si="13"/>
        <v>12</v>
      </c>
      <c r="U19" s="11">
        <f t="shared" si="14"/>
        <v>10</v>
      </c>
      <c r="V19" t="str">
        <f t="shared" si="15"/>
        <v>ME7 4DD</v>
      </c>
      <c r="W19" t="str">
        <f t="shared" si="16"/>
        <v>BL9 9HR</v>
      </c>
      <c r="X19" s="12">
        <v>5324</v>
      </c>
      <c r="Y19" s="15">
        <f t="shared" si="6"/>
        <v>28</v>
      </c>
    </row>
    <row r="20" spans="1:25" x14ac:dyDescent="0.2">
      <c r="A20" t="s">
        <v>3</v>
      </c>
      <c r="B20" s="1">
        <v>42595</v>
      </c>
      <c r="C20" s="2" t="str">
        <f t="shared" si="7"/>
        <v>Sat</v>
      </c>
      <c r="D20" t="s">
        <v>21</v>
      </c>
      <c r="E20" t="s">
        <v>10</v>
      </c>
      <c r="F20" t="str">
        <f t="shared" si="8"/>
        <v>D</v>
      </c>
      <c r="G20">
        <f t="shared" si="9"/>
        <v>0</v>
      </c>
      <c r="H20" t="s">
        <v>32</v>
      </c>
      <c r="I20">
        <f t="shared" si="10"/>
        <v>0</v>
      </c>
      <c r="J20">
        <v>30500</v>
      </c>
      <c r="K20" s="15">
        <f t="shared" si="11"/>
        <v>827</v>
      </c>
      <c r="L20" s="15">
        <f t="shared" si="12"/>
        <v>312</v>
      </c>
      <c r="M20">
        <v>7</v>
      </c>
      <c r="N20">
        <v>1</v>
      </c>
      <c r="O20">
        <v>3</v>
      </c>
      <c r="P20">
        <v>3</v>
      </c>
      <c r="Q20" s="9">
        <v>47</v>
      </c>
      <c r="R20">
        <v>20</v>
      </c>
      <c r="T20" s="11">
        <f t="shared" si="13"/>
        <v>22</v>
      </c>
      <c r="U20" s="11">
        <f t="shared" si="14"/>
        <v>22</v>
      </c>
      <c r="V20" t="str">
        <f t="shared" si="15"/>
        <v>MK1 1ST</v>
      </c>
      <c r="W20" t="str">
        <f t="shared" si="16"/>
        <v>SE16 3LN</v>
      </c>
      <c r="X20" s="12">
        <v>10232</v>
      </c>
      <c r="Y20" s="15">
        <f t="shared" si="6"/>
        <v>27</v>
      </c>
    </row>
    <row r="21" spans="1:25" x14ac:dyDescent="0.2">
      <c r="A21" t="s">
        <v>3</v>
      </c>
      <c r="B21" s="1">
        <v>42595</v>
      </c>
      <c r="C21" s="2" t="str">
        <f t="shared" si="7"/>
        <v>Sat</v>
      </c>
      <c r="D21" t="s">
        <v>11</v>
      </c>
      <c r="E21" t="s">
        <v>26</v>
      </c>
      <c r="F21" t="str">
        <f t="shared" si="8"/>
        <v>D</v>
      </c>
      <c r="G21">
        <f t="shared" si="9"/>
        <v>0</v>
      </c>
      <c r="H21" t="s">
        <v>32</v>
      </c>
      <c r="I21">
        <f t="shared" si="10"/>
        <v>0</v>
      </c>
      <c r="J21">
        <v>13559</v>
      </c>
      <c r="K21" s="15">
        <f t="shared" si="11"/>
        <v>792</v>
      </c>
      <c r="L21" s="15">
        <f t="shared" si="12"/>
        <v>300</v>
      </c>
      <c r="M21">
        <v>24</v>
      </c>
      <c r="N21">
        <v>2</v>
      </c>
      <c r="O21">
        <v>0</v>
      </c>
      <c r="P21">
        <v>3</v>
      </c>
      <c r="Q21" s="9">
        <v>69</v>
      </c>
      <c r="R21">
        <v>18</v>
      </c>
      <c r="T21" s="11">
        <f t="shared" si="13"/>
        <v>22</v>
      </c>
      <c r="U21" s="11">
        <f t="shared" si="14"/>
        <v>24</v>
      </c>
      <c r="V21" t="str">
        <f t="shared" si="15"/>
        <v>OL1 2PA</v>
      </c>
      <c r="W21" t="str">
        <f t="shared" si="16"/>
        <v>WS1 4SA</v>
      </c>
      <c r="X21" s="12">
        <v>3914</v>
      </c>
      <c r="Y21" s="15">
        <f t="shared" si="6"/>
        <v>24</v>
      </c>
    </row>
    <row r="22" spans="1:25" x14ac:dyDescent="0.2">
      <c r="A22" t="s">
        <v>3</v>
      </c>
      <c r="B22" s="1">
        <v>42595</v>
      </c>
      <c r="C22" s="2" t="str">
        <f t="shared" si="7"/>
        <v>Sat</v>
      </c>
      <c r="D22" t="s">
        <v>17</v>
      </c>
      <c r="E22" t="s">
        <v>6</v>
      </c>
      <c r="F22" t="str">
        <f t="shared" si="8"/>
        <v>D</v>
      </c>
      <c r="G22">
        <f t="shared" si="9"/>
        <v>0</v>
      </c>
      <c r="H22" t="s">
        <v>32</v>
      </c>
      <c r="I22">
        <f t="shared" si="10"/>
        <v>0</v>
      </c>
      <c r="J22">
        <v>15314</v>
      </c>
      <c r="K22" s="15">
        <f t="shared" si="11"/>
        <v>1437</v>
      </c>
      <c r="L22" s="15">
        <f t="shared" si="12"/>
        <v>295</v>
      </c>
      <c r="M22">
        <v>6</v>
      </c>
      <c r="N22">
        <v>14</v>
      </c>
      <c r="O22">
        <v>3</v>
      </c>
      <c r="P22">
        <v>1</v>
      </c>
      <c r="Q22" s="9">
        <v>106</v>
      </c>
      <c r="R22">
        <v>19</v>
      </c>
      <c r="T22" s="11">
        <f t="shared" si="13"/>
        <v>21</v>
      </c>
      <c r="U22" s="11">
        <f t="shared" si="14"/>
        <v>20</v>
      </c>
      <c r="V22" t="str">
        <f t="shared" si="15"/>
        <v>PE2 8AL</v>
      </c>
      <c r="W22" t="str">
        <f t="shared" si="16"/>
        <v>BD8 7DY</v>
      </c>
      <c r="X22" s="12">
        <v>5906</v>
      </c>
      <c r="Y22" s="15">
        <f t="shared" si="6"/>
        <v>26</v>
      </c>
    </row>
    <row r="23" spans="1:25" x14ac:dyDescent="0.2">
      <c r="A23" t="s">
        <v>3</v>
      </c>
      <c r="B23" s="1">
        <v>42595</v>
      </c>
      <c r="C23" s="2" t="str">
        <f t="shared" si="7"/>
        <v>Sat</v>
      </c>
      <c r="D23" t="s">
        <v>7</v>
      </c>
      <c r="E23" t="s">
        <v>22</v>
      </c>
      <c r="F23" t="str">
        <f t="shared" si="8"/>
        <v>D</v>
      </c>
      <c r="G23">
        <f t="shared" si="9"/>
        <v>0</v>
      </c>
      <c r="H23" t="s">
        <v>32</v>
      </c>
      <c r="I23">
        <f t="shared" si="10"/>
        <v>0</v>
      </c>
      <c r="J23">
        <v>18947</v>
      </c>
      <c r="K23" s="15">
        <f t="shared" si="11"/>
        <v>635</v>
      </c>
      <c r="L23" s="15">
        <f t="shared" si="12"/>
        <v>345</v>
      </c>
      <c r="M23">
        <v>15</v>
      </c>
      <c r="N23">
        <v>20</v>
      </c>
      <c r="O23">
        <v>1</v>
      </c>
      <c r="P23">
        <v>0</v>
      </c>
      <c r="Q23" s="9">
        <v>160</v>
      </c>
      <c r="R23">
        <v>18</v>
      </c>
      <c r="T23" s="11">
        <f t="shared" si="13"/>
        <v>22</v>
      </c>
      <c r="U23" s="11">
        <f t="shared" si="14"/>
        <v>22</v>
      </c>
      <c r="V23" t="str">
        <f t="shared" si="15"/>
        <v>ST6 1AW</v>
      </c>
      <c r="W23" t="str">
        <f t="shared" si="16"/>
        <v>SS2 6NQ</v>
      </c>
      <c r="X23" s="12">
        <v>4727</v>
      </c>
      <c r="Y23" s="15">
        <f t="shared" si="6"/>
        <v>23</v>
      </c>
    </row>
    <row r="24" spans="1:25" x14ac:dyDescent="0.2">
      <c r="A24" t="s">
        <v>3</v>
      </c>
      <c r="B24" s="1">
        <v>42595</v>
      </c>
      <c r="C24" s="2" t="str">
        <f t="shared" si="7"/>
        <v>Sat</v>
      </c>
      <c r="D24" t="s">
        <v>5</v>
      </c>
      <c r="E24" t="s">
        <v>16</v>
      </c>
      <c r="F24" t="str">
        <f t="shared" si="8"/>
        <v>D</v>
      </c>
      <c r="G24">
        <f t="shared" si="9"/>
        <v>0</v>
      </c>
      <c r="H24" t="s">
        <v>32</v>
      </c>
      <c r="I24">
        <f t="shared" si="10"/>
        <v>0</v>
      </c>
      <c r="J24">
        <v>32702</v>
      </c>
      <c r="K24" s="15">
        <f t="shared" si="11"/>
        <v>497</v>
      </c>
      <c r="L24" s="15">
        <f t="shared" si="12"/>
        <v>288</v>
      </c>
      <c r="M24">
        <v>18</v>
      </c>
      <c r="N24">
        <v>16</v>
      </c>
      <c r="O24">
        <v>0</v>
      </c>
      <c r="P24">
        <v>0</v>
      </c>
      <c r="Q24" s="9">
        <v>34</v>
      </c>
      <c r="R24">
        <v>20</v>
      </c>
      <c r="T24" s="11">
        <f t="shared" si="13"/>
        <v>20</v>
      </c>
      <c r="U24" s="11">
        <f t="shared" si="14"/>
        <v>20</v>
      </c>
      <c r="V24" t="str">
        <f t="shared" si="15"/>
        <v>S2 4SU</v>
      </c>
      <c r="W24" t="str">
        <f t="shared" si="16"/>
        <v>OL11 5DR</v>
      </c>
      <c r="X24" s="12">
        <v>19399</v>
      </c>
      <c r="Y24" s="15">
        <f t="shared" si="6"/>
        <v>29</v>
      </c>
    </row>
    <row r="25" spans="1:25" x14ac:dyDescent="0.2">
      <c r="A25" t="s">
        <v>3</v>
      </c>
      <c r="B25" s="1">
        <v>42596</v>
      </c>
      <c r="C25" s="2" t="str">
        <f t="shared" si="7"/>
        <v>Sun</v>
      </c>
      <c r="D25" t="s">
        <v>19</v>
      </c>
      <c r="E25" t="s">
        <v>14</v>
      </c>
      <c r="F25" t="str">
        <f t="shared" si="8"/>
        <v>D</v>
      </c>
      <c r="G25">
        <f t="shared" si="9"/>
        <v>0</v>
      </c>
      <c r="H25" t="s">
        <v>32</v>
      </c>
      <c r="I25">
        <f t="shared" si="10"/>
        <v>0</v>
      </c>
      <c r="J25">
        <v>12000</v>
      </c>
      <c r="K25" s="15">
        <f t="shared" si="11"/>
        <v>1000</v>
      </c>
      <c r="L25" s="15">
        <f t="shared" si="12"/>
        <v>260</v>
      </c>
      <c r="M25">
        <v>21</v>
      </c>
      <c r="N25">
        <v>13</v>
      </c>
      <c r="O25">
        <v>0</v>
      </c>
      <c r="P25">
        <v>1</v>
      </c>
      <c r="Q25" s="9">
        <v>61</v>
      </c>
      <c r="R25">
        <v>18</v>
      </c>
      <c r="T25" s="11">
        <f t="shared" si="13"/>
        <v>18</v>
      </c>
      <c r="U25" s="11">
        <f t="shared" si="14"/>
        <v>16</v>
      </c>
      <c r="V25" t="str">
        <f t="shared" si="15"/>
        <v>BS7 0BF</v>
      </c>
      <c r="W25" t="str">
        <f t="shared" si="16"/>
        <v>OX4 4XP</v>
      </c>
      <c r="X25" s="12">
        <v>10053</v>
      </c>
      <c r="Y25" s="15">
        <f t="shared" si="6"/>
        <v>26</v>
      </c>
    </row>
    <row r="26" spans="1:25" x14ac:dyDescent="0.2">
      <c r="A26" t="s">
        <v>3</v>
      </c>
      <c r="B26" s="1">
        <v>42598</v>
      </c>
      <c r="C26" s="2" t="str">
        <f t="shared" si="7"/>
        <v>Tue</v>
      </c>
      <c r="D26" t="s">
        <v>27</v>
      </c>
      <c r="E26" t="s">
        <v>18</v>
      </c>
      <c r="F26" t="str">
        <f t="shared" si="8"/>
        <v>E</v>
      </c>
      <c r="G26">
        <f t="shared" si="9"/>
        <v>1</v>
      </c>
      <c r="H26" t="s">
        <v>32</v>
      </c>
      <c r="I26">
        <f t="shared" si="10"/>
        <v>0</v>
      </c>
      <c r="J26">
        <f t="shared" ref="J26:J89" si="17">IF(D26="AFC Wimbledon",4850,IF(D26="Bolton",28723,IF(D26="Bradford",25136,IF(D26="Bury",11841,IF(D26="Millwall",20146,IF(D26="Northampton",7653,IF(D26="Oxford",12500,IF(D26="Rochdale",10249,IF(D26="Scunthorpe",9183,IF(D26="Shrewsbury",9875,IF(D26="Southend",12392,IF(D26="Swindon",15728,IF(D26="Walsall",11300,IF(D26="Charlton",26875,IF(D26="Chesterfield",10504,IF(D26="Coventry",32609,IF(D26="Fleetwood Town",5327,IF(D26="Gillingham",11582,IF(D26="Milton Keynes Dons",30500,IF(D26="Oldham",13559,IF(D26="Peterboro",15314,IF(D26="Port Vale",18947,IF(D26="Sheffield United",32702,IF(D26="Bristol Rvs",12000))))))))))))))))))))))))</f>
        <v>4850</v>
      </c>
      <c r="K26" s="15">
        <f t="shared" si="11"/>
        <v>508</v>
      </c>
      <c r="L26" s="15">
        <f t="shared" si="12"/>
        <v>260</v>
      </c>
      <c r="M26">
        <v>23</v>
      </c>
      <c r="N26">
        <v>4</v>
      </c>
      <c r="O26">
        <v>0</v>
      </c>
      <c r="P26">
        <v>4</v>
      </c>
      <c r="Q26" s="9">
        <v>152</v>
      </c>
      <c r="R26">
        <v>18</v>
      </c>
      <c r="T26" s="11">
        <f t="shared" si="13"/>
        <v>17</v>
      </c>
      <c r="U26" s="11">
        <f t="shared" si="14"/>
        <v>17</v>
      </c>
      <c r="V26" t="str">
        <f t="shared" si="15"/>
        <v>KT1 3PB</v>
      </c>
      <c r="W26" t="str">
        <f t="shared" si="16"/>
        <v>DN15 8TD</v>
      </c>
      <c r="X26" s="12">
        <v>4163</v>
      </c>
      <c r="Y26" s="15">
        <f t="shared" si="6"/>
        <v>29</v>
      </c>
    </row>
    <row r="27" spans="1:25" x14ac:dyDescent="0.2">
      <c r="A27" t="s">
        <v>3</v>
      </c>
      <c r="B27" s="1">
        <v>42598</v>
      </c>
      <c r="C27" s="2" t="str">
        <f t="shared" si="7"/>
        <v>Tue</v>
      </c>
      <c r="D27" t="s">
        <v>9</v>
      </c>
      <c r="E27" t="s">
        <v>20</v>
      </c>
      <c r="F27" t="str">
        <f t="shared" si="8"/>
        <v>E</v>
      </c>
      <c r="G27">
        <f t="shared" si="9"/>
        <v>1</v>
      </c>
      <c r="H27" t="s">
        <v>32</v>
      </c>
      <c r="I27">
        <f t="shared" si="10"/>
        <v>0</v>
      </c>
      <c r="J27">
        <f t="shared" si="17"/>
        <v>26875</v>
      </c>
      <c r="K27" s="15">
        <f t="shared" si="11"/>
        <v>438</v>
      </c>
      <c r="L27" s="15">
        <f t="shared" si="12"/>
        <v>175</v>
      </c>
      <c r="M27">
        <v>21</v>
      </c>
      <c r="N27">
        <v>20</v>
      </c>
      <c r="O27">
        <v>1</v>
      </c>
      <c r="P27">
        <v>1</v>
      </c>
      <c r="Q27" s="9">
        <v>145</v>
      </c>
      <c r="R27">
        <v>18</v>
      </c>
      <c r="T27" s="11">
        <f t="shared" si="13"/>
        <v>20</v>
      </c>
      <c r="U27" s="11">
        <f t="shared" si="14"/>
        <v>20</v>
      </c>
      <c r="V27" t="str">
        <f t="shared" si="15"/>
        <v>SE7 8BL</v>
      </c>
      <c r="W27" t="str">
        <f t="shared" si="16"/>
        <v>SY2 6ST</v>
      </c>
      <c r="X27" s="12">
        <v>9174</v>
      </c>
      <c r="Y27" s="15">
        <f t="shared" si="6"/>
        <v>35</v>
      </c>
    </row>
    <row r="28" spans="1:25" x14ac:dyDescent="0.2">
      <c r="A28" t="s">
        <v>3</v>
      </c>
      <c r="B28" s="1">
        <v>42598</v>
      </c>
      <c r="C28" s="2" t="str">
        <f t="shared" si="7"/>
        <v>Tue</v>
      </c>
      <c r="D28" t="s">
        <v>15</v>
      </c>
      <c r="E28" t="s">
        <v>26</v>
      </c>
      <c r="F28" t="str">
        <f t="shared" si="8"/>
        <v>E</v>
      </c>
      <c r="G28">
        <f t="shared" si="9"/>
        <v>1</v>
      </c>
      <c r="H28" t="s">
        <v>32</v>
      </c>
      <c r="I28">
        <f t="shared" si="10"/>
        <v>0</v>
      </c>
      <c r="J28">
        <f t="shared" si="17"/>
        <v>10504</v>
      </c>
      <c r="K28" s="15">
        <f t="shared" si="11"/>
        <v>792</v>
      </c>
      <c r="L28" s="15">
        <f t="shared" si="12"/>
        <v>345</v>
      </c>
      <c r="M28">
        <v>5</v>
      </c>
      <c r="N28">
        <v>6</v>
      </c>
      <c r="O28">
        <v>4</v>
      </c>
      <c r="P28">
        <v>4</v>
      </c>
      <c r="Q28" s="9">
        <v>53</v>
      </c>
      <c r="R28">
        <v>18</v>
      </c>
      <c r="T28" s="11">
        <f t="shared" si="13"/>
        <v>22</v>
      </c>
      <c r="U28" s="11">
        <f t="shared" si="14"/>
        <v>20</v>
      </c>
      <c r="V28" t="str">
        <f t="shared" si="15"/>
        <v>S41 8NZ</v>
      </c>
      <c r="W28" t="str">
        <f t="shared" si="16"/>
        <v>WS1 4SA</v>
      </c>
      <c r="X28" s="12">
        <v>5406</v>
      </c>
      <c r="Y28" s="15">
        <f t="shared" si="6"/>
        <v>26</v>
      </c>
    </row>
    <row r="29" spans="1:25" x14ac:dyDescent="0.2">
      <c r="A29" t="s">
        <v>3</v>
      </c>
      <c r="B29" s="1">
        <v>42598</v>
      </c>
      <c r="C29" s="2" t="str">
        <f t="shared" si="7"/>
        <v>Tue</v>
      </c>
      <c r="D29" t="s">
        <v>25</v>
      </c>
      <c r="E29" t="s">
        <v>8</v>
      </c>
      <c r="F29" t="str">
        <f t="shared" si="8"/>
        <v>E</v>
      </c>
      <c r="G29">
        <f t="shared" si="9"/>
        <v>1</v>
      </c>
      <c r="H29" t="s">
        <v>32</v>
      </c>
      <c r="I29">
        <f t="shared" si="10"/>
        <v>0</v>
      </c>
      <c r="J29">
        <f t="shared" si="17"/>
        <v>32609</v>
      </c>
      <c r="K29" s="15">
        <f t="shared" si="11"/>
        <v>608</v>
      </c>
      <c r="L29" s="15">
        <f t="shared" si="12"/>
        <v>299</v>
      </c>
      <c r="M29">
        <v>19</v>
      </c>
      <c r="N29">
        <v>10</v>
      </c>
      <c r="O29">
        <v>1</v>
      </c>
      <c r="P29">
        <v>3</v>
      </c>
      <c r="Q29" s="9">
        <v>85</v>
      </c>
      <c r="R29">
        <v>19</v>
      </c>
      <c r="T29" s="11">
        <f t="shared" si="13"/>
        <v>22</v>
      </c>
      <c r="U29" s="11">
        <f t="shared" si="14"/>
        <v>22</v>
      </c>
      <c r="V29" t="str">
        <f t="shared" si="15"/>
        <v>CV6 6GE</v>
      </c>
      <c r="W29" t="str">
        <f t="shared" si="16"/>
        <v>BL9 9HR</v>
      </c>
      <c r="X29" s="12">
        <v>9098</v>
      </c>
      <c r="Y29" s="15">
        <f t="shared" si="6"/>
        <v>26</v>
      </c>
    </row>
    <row r="30" spans="1:25" x14ac:dyDescent="0.2">
      <c r="A30" t="s">
        <v>3</v>
      </c>
      <c r="B30" s="1">
        <v>42598</v>
      </c>
      <c r="C30" s="2" t="str">
        <f t="shared" si="7"/>
        <v>Tue</v>
      </c>
      <c r="D30" t="s">
        <v>23</v>
      </c>
      <c r="E30" t="s">
        <v>24</v>
      </c>
      <c r="F30" t="str">
        <f t="shared" si="8"/>
        <v>E</v>
      </c>
      <c r="G30">
        <f t="shared" si="9"/>
        <v>1</v>
      </c>
      <c r="H30" t="s">
        <v>32</v>
      </c>
      <c r="I30">
        <f t="shared" si="10"/>
        <v>0</v>
      </c>
      <c r="J30">
        <f t="shared" si="17"/>
        <v>11582</v>
      </c>
      <c r="K30" s="15">
        <f t="shared" si="11"/>
        <v>503</v>
      </c>
      <c r="L30" s="15">
        <f t="shared" si="12"/>
        <v>285</v>
      </c>
      <c r="M30">
        <v>1</v>
      </c>
      <c r="N30">
        <v>13</v>
      </c>
      <c r="O30">
        <v>6</v>
      </c>
      <c r="P30">
        <v>3</v>
      </c>
      <c r="Q30" s="9">
        <v>101</v>
      </c>
      <c r="R30">
        <v>21</v>
      </c>
      <c r="T30" s="11">
        <f t="shared" si="13"/>
        <v>12</v>
      </c>
      <c r="U30" s="11">
        <f t="shared" si="14"/>
        <v>10</v>
      </c>
      <c r="V30" t="str">
        <f t="shared" si="15"/>
        <v>ME7 4DD</v>
      </c>
      <c r="W30" t="str">
        <f t="shared" si="16"/>
        <v>SN1 2ED</v>
      </c>
      <c r="X30" s="12">
        <v>5512</v>
      </c>
      <c r="Y30" s="15">
        <f t="shared" si="6"/>
        <v>28</v>
      </c>
    </row>
    <row r="31" spans="1:25" x14ac:dyDescent="0.2">
      <c r="A31" t="s">
        <v>3</v>
      </c>
      <c r="B31" s="1">
        <v>42598</v>
      </c>
      <c r="C31" s="2" t="str">
        <f t="shared" si="7"/>
        <v>Tue</v>
      </c>
      <c r="D31" t="s">
        <v>21</v>
      </c>
      <c r="E31" t="s">
        <v>6</v>
      </c>
      <c r="F31" t="str">
        <f t="shared" si="8"/>
        <v>E</v>
      </c>
      <c r="G31">
        <f t="shared" si="9"/>
        <v>1</v>
      </c>
      <c r="H31" t="s">
        <v>32</v>
      </c>
      <c r="I31">
        <f t="shared" si="10"/>
        <v>0</v>
      </c>
      <c r="J31">
        <f t="shared" si="17"/>
        <v>30500</v>
      </c>
      <c r="K31" s="15">
        <f t="shared" si="11"/>
        <v>1437</v>
      </c>
      <c r="L31" s="15">
        <f t="shared" si="12"/>
        <v>312</v>
      </c>
      <c r="M31">
        <v>8</v>
      </c>
      <c r="N31">
        <v>9</v>
      </c>
      <c r="O31">
        <v>4</v>
      </c>
      <c r="P31">
        <v>4</v>
      </c>
      <c r="Q31" s="9">
        <v>131</v>
      </c>
      <c r="R31">
        <v>18</v>
      </c>
      <c r="T31" s="11">
        <f t="shared" si="13"/>
        <v>22</v>
      </c>
      <c r="U31" s="11">
        <f t="shared" si="14"/>
        <v>22</v>
      </c>
      <c r="V31" t="str">
        <f t="shared" si="15"/>
        <v>MK1 1ST</v>
      </c>
      <c r="W31" t="str">
        <f t="shared" si="16"/>
        <v>BD8 7DY</v>
      </c>
      <c r="X31" s="12">
        <v>8166</v>
      </c>
      <c r="Y31" s="15">
        <f t="shared" si="6"/>
        <v>27</v>
      </c>
    </row>
    <row r="32" spans="1:25" x14ac:dyDescent="0.2">
      <c r="A32" t="s">
        <v>3</v>
      </c>
      <c r="B32" s="1">
        <v>42598</v>
      </c>
      <c r="C32" s="2" t="str">
        <f t="shared" si="7"/>
        <v>Tue</v>
      </c>
      <c r="D32" t="s">
        <v>11</v>
      </c>
      <c r="E32" t="s">
        <v>12</v>
      </c>
      <c r="F32" t="str">
        <f t="shared" si="8"/>
        <v>E</v>
      </c>
      <c r="G32">
        <f t="shared" si="9"/>
        <v>1</v>
      </c>
      <c r="H32" t="s">
        <v>32</v>
      </c>
      <c r="I32">
        <f t="shared" si="10"/>
        <v>0</v>
      </c>
      <c r="J32">
        <f t="shared" si="17"/>
        <v>13559</v>
      </c>
      <c r="K32" s="15">
        <f t="shared" si="11"/>
        <v>843</v>
      </c>
      <c r="L32" s="15">
        <f t="shared" si="12"/>
        <v>300</v>
      </c>
      <c r="M32">
        <v>22</v>
      </c>
      <c r="N32">
        <v>15</v>
      </c>
      <c r="O32">
        <v>1</v>
      </c>
      <c r="P32">
        <v>2</v>
      </c>
      <c r="Q32" s="9">
        <v>104</v>
      </c>
      <c r="R32">
        <v>21</v>
      </c>
      <c r="T32" s="11">
        <f t="shared" si="13"/>
        <v>22</v>
      </c>
      <c r="U32" s="11">
        <f t="shared" si="14"/>
        <v>24</v>
      </c>
      <c r="V32" t="str">
        <f t="shared" si="15"/>
        <v>OL1 2PA</v>
      </c>
      <c r="W32" t="str">
        <f t="shared" si="16"/>
        <v>NN5 5QA</v>
      </c>
      <c r="X32" s="12">
        <v>3327</v>
      </c>
      <c r="Y32" s="15">
        <f t="shared" si="6"/>
        <v>24</v>
      </c>
    </row>
    <row r="33" spans="1:25" x14ac:dyDescent="0.2">
      <c r="A33" t="s">
        <v>3</v>
      </c>
      <c r="B33" s="1">
        <v>42598</v>
      </c>
      <c r="C33" s="2" t="str">
        <f t="shared" si="7"/>
        <v>Tue</v>
      </c>
      <c r="D33" t="s">
        <v>17</v>
      </c>
      <c r="E33" t="s">
        <v>10</v>
      </c>
      <c r="F33" t="str">
        <f t="shared" si="8"/>
        <v>E</v>
      </c>
      <c r="G33">
        <f t="shared" si="9"/>
        <v>1</v>
      </c>
      <c r="H33" t="s">
        <v>32</v>
      </c>
      <c r="I33">
        <f t="shared" si="10"/>
        <v>0</v>
      </c>
      <c r="J33">
        <f t="shared" si="17"/>
        <v>15314</v>
      </c>
      <c r="K33" s="15">
        <f t="shared" si="11"/>
        <v>827</v>
      </c>
      <c r="L33" s="15">
        <f t="shared" si="12"/>
        <v>295</v>
      </c>
      <c r="M33">
        <v>11</v>
      </c>
      <c r="N33">
        <v>3</v>
      </c>
      <c r="O33">
        <v>3</v>
      </c>
      <c r="P33">
        <v>4</v>
      </c>
      <c r="Q33" s="9">
        <v>75</v>
      </c>
      <c r="R33">
        <v>17</v>
      </c>
      <c r="T33" s="11">
        <f t="shared" si="13"/>
        <v>21</v>
      </c>
      <c r="U33" s="11">
        <f t="shared" si="14"/>
        <v>20</v>
      </c>
      <c r="V33" t="str">
        <f t="shared" si="15"/>
        <v>PE2 8AL</v>
      </c>
      <c r="W33" t="str">
        <f t="shared" si="16"/>
        <v>SE16 3LN</v>
      </c>
      <c r="X33" s="12">
        <v>5007</v>
      </c>
      <c r="Y33" s="15">
        <f t="shared" si="6"/>
        <v>26</v>
      </c>
    </row>
    <row r="34" spans="1:25" x14ac:dyDescent="0.2">
      <c r="A34" t="s">
        <v>3</v>
      </c>
      <c r="B34" s="1">
        <v>42598</v>
      </c>
      <c r="C34" s="2" t="str">
        <f t="shared" si="7"/>
        <v>Tue</v>
      </c>
      <c r="D34" t="s">
        <v>7</v>
      </c>
      <c r="E34" t="s">
        <v>16</v>
      </c>
      <c r="F34" t="str">
        <f t="shared" si="8"/>
        <v>E</v>
      </c>
      <c r="G34">
        <f t="shared" si="9"/>
        <v>1</v>
      </c>
      <c r="H34" t="s">
        <v>32</v>
      </c>
      <c r="I34">
        <f t="shared" si="10"/>
        <v>0</v>
      </c>
      <c r="J34">
        <f t="shared" si="17"/>
        <v>18947</v>
      </c>
      <c r="K34" s="15">
        <f t="shared" si="11"/>
        <v>497</v>
      </c>
      <c r="L34" s="15">
        <f t="shared" si="12"/>
        <v>345</v>
      </c>
      <c r="M34">
        <v>7</v>
      </c>
      <c r="N34">
        <v>16</v>
      </c>
      <c r="O34">
        <v>4</v>
      </c>
      <c r="P34">
        <v>1</v>
      </c>
      <c r="Q34" s="9">
        <v>39</v>
      </c>
      <c r="R34">
        <v>22</v>
      </c>
      <c r="T34" s="11">
        <f t="shared" si="13"/>
        <v>22</v>
      </c>
      <c r="U34" s="11">
        <f t="shared" si="14"/>
        <v>22</v>
      </c>
      <c r="V34" t="str">
        <f t="shared" si="15"/>
        <v>ST6 1AW</v>
      </c>
      <c r="W34" t="str">
        <f t="shared" si="16"/>
        <v>OL11 5DR</v>
      </c>
      <c r="X34" s="12">
        <v>3941</v>
      </c>
      <c r="Y34" s="15">
        <f t="shared" si="6"/>
        <v>23</v>
      </c>
    </row>
    <row r="35" spans="1:25" x14ac:dyDescent="0.2">
      <c r="A35" t="s">
        <v>3</v>
      </c>
      <c r="B35" s="1">
        <v>42598</v>
      </c>
      <c r="C35" s="2" t="str">
        <f t="shared" si="7"/>
        <v>Tue</v>
      </c>
      <c r="D35" t="s">
        <v>5</v>
      </c>
      <c r="E35" t="s">
        <v>22</v>
      </c>
      <c r="F35" t="str">
        <f t="shared" si="8"/>
        <v>E</v>
      </c>
      <c r="G35">
        <f t="shared" si="9"/>
        <v>1</v>
      </c>
      <c r="H35" t="s">
        <v>32</v>
      </c>
      <c r="I35">
        <f t="shared" si="10"/>
        <v>0</v>
      </c>
      <c r="J35">
        <f t="shared" si="17"/>
        <v>32702</v>
      </c>
      <c r="K35" s="15">
        <f t="shared" si="11"/>
        <v>635</v>
      </c>
      <c r="L35" s="15">
        <f t="shared" si="12"/>
        <v>288</v>
      </c>
      <c r="M35">
        <v>18</v>
      </c>
      <c r="N35">
        <v>24</v>
      </c>
      <c r="O35">
        <v>1</v>
      </c>
      <c r="P35">
        <v>0</v>
      </c>
      <c r="Q35" s="9">
        <v>156</v>
      </c>
      <c r="R35">
        <v>16</v>
      </c>
      <c r="S35" t="s">
        <v>72</v>
      </c>
      <c r="T35" s="11">
        <f t="shared" si="13"/>
        <v>20</v>
      </c>
      <c r="U35" s="11">
        <f t="shared" si="14"/>
        <v>20</v>
      </c>
      <c r="V35" t="str">
        <f t="shared" si="15"/>
        <v>S2 4SU</v>
      </c>
      <c r="W35" t="str">
        <f t="shared" si="16"/>
        <v>SS2 6NQ</v>
      </c>
      <c r="X35" s="12">
        <v>17410</v>
      </c>
      <c r="Y35" s="15">
        <f t="shared" si="6"/>
        <v>29</v>
      </c>
    </row>
    <row r="36" spans="1:25" x14ac:dyDescent="0.2">
      <c r="A36" t="s">
        <v>3</v>
      </c>
      <c r="B36" s="1">
        <v>42599</v>
      </c>
      <c r="C36" s="2" t="str">
        <f t="shared" si="7"/>
        <v>Wed</v>
      </c>
      <c r="D36" t="s">
        <v>19</v>
      </c>
      <c r="E36" t="s">
        <v>4</v>
      </c>
      <c r="F36" t="str">
        <f t="shared" si="8"/>
        <v>E</v>
      </c>
      <c r="G36">
        <f t="shared" si="9"/>
        <v>1</v>
      </c>
      <c r="H36" t="s">
        <v>32</v>
      </c>
      <c r="I36">
        <f t="shared" si="10"/>
        <v>0</v>
      </c>
      <c r="J36">
        <f t="shared" si="17"/>
        <v>12000</v>
      </c>
      <c r="K36" s="15">
        <f t="shared" si="11"/>
        <v>912</v>
      </c>
      <c r="L36" s="15">
        <f t="shared" si="12"/>
        <v>260</v>
      </c>
      <c r="M36">
        <v>12</v>
      </c>
      <c r="N36">
        <v>2</v>
      </c>
      <c r="O36">
        <v>3</v>
      </c>
      <c r="P36">
        <v>6</v>
      </c>
      <c r="Q36" s="9">
        <v>145</v>
      </c>
      <c r="R36">
        <v>19</v>
      </c>
      <c r="T36" s="11">
        <f t="shared" si="13"/>
        <v>18</v>
      </c>
      <c r="U36" s="11">
        <f t="shared" si="14"/>
        <v>16</v>
      </c>
      <c r="V36" t="str">
        <f t="shared" si="15"/>
        <v>BS7 0BF</v>
      </c>
      <c r="W36" t="str">
        <f t="shared" si="16"/>
        <v>BL6 6JW</v>
      </c>
      <c r="X36" s="12">
        <v>9169</v>
      </c>
      <c r="Y36" s="15">
        <f t="shared" si="6"/>
        <v>26</v>
      </c>
    </row>
    <row r="37" spans="1:25" x14ac:dyDescent="0.2">
      <c r="A37" t="s">
        <v>3</v>
      </c>
      <c r="B37" s="1">
        <v>42599</v>
      </c>
      <c r="C37" s="2" t="str">
        <f t="shared" si="7"/>
        <v>Wed</v>
      </c>
      <c r="D37" t="s">
        <v>13</v>
      </c>
      <c r="E37" t="s">
        <v>14</v>
      </c>
      <c r="F37" t="str">
        <f t="shared" si="8"/>
        <v>E</v>
      </c>
      <c r="G37">
        <f t="shared" si="9"/>
        <v>1</v>
      </c>
      <c r="H37" t="s">
        <v>32</v>
      </c>
      <c r="I37">
        <f t="shared" si="10"/>
        <v>0</v>
      </c>
      <c r="J37">
        <f t="shared" si="17"/>
        <v>5327</v>
      </c>
      <c r="K37" s="15">
        <f t="shared" si="11"/>
        <v>1000</v>
      </c>
      <c r="L37" s="15">
        <f t="shared" si="12"/>
        <v>210</v>
      </c>
      <c r="M37">
        <v>14</v>
      </c>
      <c r="N37">
        <v>17</v>
      </c>
      <c r="O37">
        <v>2</v>
      </c>
      <c r="P37">
        <v>1</v>
      </c>
      <c r="Q37" s="9">
        <v>170</v>
      </c>
      <c r="R37">
        <v>17</v>
      </c>
      <c r="T37" s="11">
        <f t="shared" si="13"/>
        <v>21.5</v>
      </c>
      <c r="U37" s="11">
        <f t="shared" si="14"/>
        <v>21.5</v>
      </c>
      <c r="V37" t="str">
        <f t="shared" si="15"/>
        <v>FY7 6TX</v>
      </c>
      <c r="W37" t="str">
        <f t="shared" si="16"/>
        <v>OX4 4XP</v>
      </c>
      <c r="X37" s="12">
        <v>2614</v>
      </c>
      <c r="Y37" s="15">
        <f t="shared" si="6"/>
        <v>23.5</v>
      </c>
    </row>
    <row r="38" spans="1:25" x14ac:dyDescent="0.2">
      <c r="A38" t="s">
        <v>3</v>
      </c>
      <c r="B38" s="1">
        <v>42602</v>
      </c>
      <c r="C38" s="2" t="str">
        <f t="shared" si="7"/>
        <v>Sat</v>
      </c>
      <c r="D38" t="s">
        <v>4</v>
      </c>
      <c r="E38" t="s">
        <v>13</v>
      </c>
      <c r="F38" t="str">
        <f t="shared" si="8"/>
        <v>D</v>
      </c>
      <c r="G38">
        <f t="shared" si="9"/>
        <v>0</v>
      </c>
      <c r="H38" t="s">
        <v>32</v>
      </c>
      <c r="I38">
        <f t="shared" si="10"/>
        <v>0</v>
      </c>
      <c r="J38">
        <f t="shared" si="17"/>
        <v>28723</v>
      </c>
      <c r="K38" s="15">
        <f t="shared" si="11"/>
        <v>210</v>
      </c>
      <c r="L38" s="15">
        <f t="shared" si="12"/>
        <v>280</v>
      </c>
      <c r="M38">
        <v>1</v>
      </c>
      <c r="N38">
        <v>8</v>
      </c>
      <c r="O38">
        <v>9</v>
      </c>
      <c r="P38">
        <v>5</v>
      </c>
      <c r="Q38" s="9">
        <v>31</v>
      </c>
      <c r="R38">
        <v>16</v>
      </c>
      <c r="T38" s="11">
        <f t="shared" si="13"/>
        <v>15</v>
      </c>
      <c r="U38" s="11">
        <f t="shared" si="14"/>
        <v>15</v>
      </c>
      <c r="V38" t="str">
        <f t="shared" si="15"/>
        <v>BL6 6JW</v>
      </c>
      <c r="W38" t="str">
        <f t="shared" si="16"/>
        <v>FY7 6TX</v>
      </c>
      <c r="X38" s="12">
        <v>13524</v>
      </c>
      <c r="Y38" s="15">
        <f t="shared" si="6"/>
        <v>30</v>
      </c>
    </row>
    <row r="39" spans="1:25" x14ac:dyDescent="0.2">
      <c r="A39" t="s">
        <v>3</v>
      </c>
      <c r="B39" s="1">
        <v>42602</v>
      </c>
      <c r="C39" s="2" t="str">
        <f t="shared" si="7"/>
        <v>Sat</v>
      </c>
      <c r="D39" t="s">
        <v>6</v>
      </c>
      <c r="E39" t="s">
        <v>25</v>
      </c>
      <c r="F39" t="str">
        <f t="shared" si="8"/>
        <v>D</v>
      </c>
      <c r="G39">
        <f t="shared" si="9"/>
        <v>0</v>
      </c>
      <c r="H39" t="s">
        <v>32</v>
      </c>
      <c r="I39">
        <f t="shared" si="10"/>
        <v>0</v>
      </c>
      <c r="J39">
        <f t="shared" si="17"/>
        <v>25136</v>
      </c>
      <c r="K39" s="15">
        <f t="shared" si="11"/>
        <v>1280</v>
      </c>
      <c r="L39" s="15">
        <f t="shared" si="12"/>
        <v>149</v>
      </c>
      <c r="M39">
        <v>6</v>
      </c>
      <c r="N39">
        <v>18</v>
      </c>
      <c r="O39">
        <v>7</v>
      </c>
      <c r="P39">
        <v>2</v>
      </c>
      <c r="Q39" s="9">
        <v>94</v>
      </c>
      <c r="R39">
        <v>14</v>
      </c>
      <c r="S39" t="s">
        <v>68</v>
      </c>
      <c r="T39" s="11">
        <f t="shared" si="13"/>
        <v>25</v>
      </c>
      <c r="U39" s="11">
        <f t="shared" si="14"/>
        <v>20</v>
      </c>
      <c r="V39" t="str">
        <f t="shared" si="15"/>
        <v>BD8 7DY</v>
      </c>
      <c r="W39" t="str">
        <f t="shared" si="16"/>
        <v>CV6 6GE</v>
      </c>
      <c r="X39" s="12">
        <v>17595</v>
      </c>
      <c r="Y39" s="15">
        <f t="shared" si="6"/>
        <v>25</v>
      </c>
    </row>
    <row r="40" spans="1:25" x14ac:dyDescent="0.2">
      <c r="A40" t="s">
        <v>3</v>
      </c>
      <c r="B40" s="1">
        <v>42602</v>
      </c>
      <c r="C40" s="2" t="str">
        <f t="shared" si="7"/>
        <v>Sat</v>
      </c>
      <c r="D40" t="s">
        <v>8</v>
      </c>
      <c r="E40" t="s">
        <v>11</v>
      </c>
      <c r="F40" t="str">
        <f t="shared" si="8"/>
        <v>D</v>
      </c>
      <c r="G40">
        <f t="shared" si="9"/>
        <v>0</v>
      </c>
      <c r="H40" t="s">
        <v>32</v>
      </c>
      <c r="I40">
        <f t="shared" si="10"/>
        <v>0</v>
      </c>
      <c r="J40">
        <f t="shared" si="17"/>
        <v>11841</v>
      </c>
      <c r="K40" s="15">
        <f t="shared" si="11"/>
        <v>729</v>
      </c>
      <c r="L40" s="15">
        <f t="shared" si="12"/>
        <v>275</v>
      </c>
      <c r="M40">
        <v>10</v>
      </c>
      <c r="N40">
        <v>19</v>
      </c>
      <c r="O40">
        <v>4</v>
      </c>
      <c r="P40">
        <v>2</v>
      </c>
      <c r="Q40" s="9">
        <v>7</v>
      </c>
      <c r="R40">
        <v>16</v>
      </c>
      <c r="T40" s="11">
        <f t="shared" si="13"/>
        <v>18</v>
      </c>
      <c r="U40" s="11">
        <f t="shared" si="14"/>
        <v>18</v>
      </c>
      <c r="V40" t="str">
        <f t="shared" si="15"/>
        <v>BL9 9HR</v>
      </c>
      <c r="W40" t="str">
        <f t="shared" si="16"/>
        <v>OL1 2PA</v>
      </c>
      <c r="X40" s="12">
        <v>4479</v>
      </c>
      <c r="Y40" s="15">
        <f t="shared" si="6"/>
        <v>22</v>
      </c>
    </row>
    <row r="41" spans="1:25" x14ac:dyDescent="0.2">
      <c r="A41" t="s">
        <v>3</v>
      </c>
      <c r="B41" s="1">
        <v>42602</v>
      </c>
      <c r="C41" s="2" t="str">
        <f t="shared" si="7"/>
        <v>Sat</v>
      </c>
      <c r="D41" t="s">
        <v>10</v>
      </c>
      <c r="E41" t="s">
        <v>5</v>
      </c>
      <c r="F41" t="str">
        <f t="shared" si="8"/>
        <v>D</v>
      </c>
      <c r="G41">
        <f t="shared" si="9"/>
        <v>0</v>
      </c>
      <c r="H41" t="s">
        <v>32</v>
      </c>
      <c r="I41">
        <f t="shared" si="10"/>
        <v>0</v>
      </c>
      <c r="J41">
        <f t="shared" si="17"/>
        <v>20146</v>
      </c>
      <c r="K41" s="15">
        <f t="shared" si="11"/>
        <v>1622</v>
      </c>
      <c r="L41" s="15">
        <f t="shared" si="12"/>
        <v>333</v>
      </c>
      <c r="M41">
        <v>13</v>
      </c>
      <c r="N41">
        <v>22</v>
      </c>
      <c r="O41">
        <v>4</v>
      </c>
      <c r="P41">
        <v>1</v>
      </c>
      <c r="Q41" s="9">
        <v>143</v>
      </c>
      <c r="R41">
        <v>18</v>
      </c>
      <c r="S41" t="s">
        <v>68</v>
      </c>
      <c r="T41" s="11">
        <f t="shared" si="13"/>
        <v>22</v>
      </c>
      <c r="U41" s="11">
        <f t="shared" si="14"/>
        <v>23</v>
      </c>
      <c r="V41" t="str">
        <f t="shared" si="15"/>
        <v>SE16 3LN</v>
      </c>
      <c r="W41" t="str">
        <f t="shared" si="16"/>
        <v>S2 4SU</v>
      </c>
      <c r="X41" s="12">
        <v>9058</v>
      </c>
      <c r="Y41" s="15">
        <f t="shared" si="6"/>
        <v>30</v>
      </c>
    </row>
    <row r="42" spans="1:25" x14ac:dyDescent="0.2">
      <c r="A42" t="s">
        <v>3</v>
      </c>
      <c r="B42" s="1">
        <v>42602</v>
      </c>
      <c r="C42" s="2" t="str">
        <f t="shared" si="7"/>
        <v>Sat</v>
      </c>
      <c r="D42" t="s">
        <v>12</v>
      </c>
      <c r="E42" t="s">
        <v>27</v>
      </c>
      <c r="F42" t="str">
        <f t="shared" si="8"/>
        <v>D</v>
      </c>
      <c r="G42">
        <f t="shared" si="9"/>
        <v>0</v>
      </c>
      <c r="H42" t="s">
        <v>32</v>
      </c>
      <c r="I42">
        <f t="shared" si="10"/>
        <v>0</v>
      </c>
      <c r="J42">
        <f t="shared" si="17"/>
        <v>7653</v>
      </c>
      <c r="K42" s="15">
        <f t="shared" si="11"/>
        <v>622</v>
      </c>
      <c r="L42" s="15">
        <f t="shared" si="12"/>
        <v>249</v>
      </c>
      <c r="M42">
        <v>15</v>
      </c>
      <c r="N42">
        <v>24</v>
      </c>
      <c r="O42">
        <v>3</v>
      </c>
      <c r="P42">
        <v>0</v>
      </c>
      <c r="Q42" s="9">
        <v>64</v>
      </c>
      <c r="R42">
        <v>18</v>
      </c>
      <c r="S42" t="s">
        <v>68</v>
      </c>
      <c r="T42" s="11">
        <f t="shared" si="13"/>
        <v>24</v>
      </c>
      <c r="U42" s="11">
        <f t="shared" si="14"/>
        <v>24</v>
      </c>
      <c r="V42" t="str">
        <f t="shared" si="15"/>
        <v>NN5 5QA</v>
      </c>
      <c r="W42" t="str">
        <f t="shared" si="16"/>
        <v>KT1 3PB</v>
      </c>
      <c r="X42" s="12">
        <v>5185</v>
      </c>
      <c r="Y42" s="15">
        <f t="shared" si="6"/>
        <v>24</v>
      </c>
    </row>
    <row r="43" spans="1:25" x14ac:dyDescent="0.2">
      <c r="A43" t="s">
        <v>3</v>
      </c>
      <c r="B43" s="1">
        <v>42602</v>
      </c>
      <c r="C43" s="2" t="str">
        <f t="shared" si="7"/>
        <v>Sat</v>
      </c>
      <c r="D43" t="s">
        <v>14</v>
      </c>
      <c r="E43" t="s">
        <v>17</v>
      </c>
      <c r="F43" t="str">
        <f t="shared" si="8"/>
        <v>D</v>
      </c>
      <c r="G43">
        <f t="shared" si="9"/>
        <v>0</v>
      </c>
      <c r="H43" t="s">
        <v>32</v>
      </c>
      <c r="I43">
        <f t="shared" si="10"/>
        <v>0</v>
      </c>
      <c r="J43">
        <f t="shared" si="17"/>
        <v>12500</v>
      </c>
      <c r="K43" s="15">
        <f t="shared" si="11"/>
        <v>598</v>
      </c>
      <c r="L43" s="15">
        <f t="shared" si="12"/>
        <v>290</v>
      </c>
      <c r="M43">
        <v>21</v>
      </c>
      <c r="N43">
        <v>7</v>
      </c>
      <c r="O43">
        <v>1</v>
      </c>
      <c r="P43">
        <v>6</v>
      </c>
      <c r="Q43" s="9">
        <v>72</v>
      </c>
      <c r="R43">
        <v>17</v>
      </c>
      <c r="T43" s="11">
        <f t="shared" si="13"/>
        <v>20</v>
      </c>
      <c r="U43" s="11">
        <f t="shared" si="14"/>
        <v>21</v>
      </c>
      <c r="V43" t="str">
        <f t="shared" si="15"/>
        <v>OX4 4XP</v>
      </c>
      <c r="W43" t="str">
        <f t="shared" si="16"/>
        <v>PE2 8AL</v>
      </c>
      <c r="X43" s="12">
        <v>7500</v>
      </c>
      <c r="Y43" s="15">
        <f t="shared" si="6"/>
        <v>24</v>
      </c>
    </row>
    <row r="44" spans="1:25" x14ac:dyDescent="0.2">
      <c r="A44" t="s">
        <v>3</v>
      </c>
      <c r="B44" s="1">
        <v>42602</v>
      </c>
      <c r="C44" s="2" t="str">
        <f t="shared" si="7"/>
        <v>Sat</v>
      </c>
      <c r="D44" t="s">
        <v>16</v>
      </c>
      <c r="E44" t="s">
        <v>21</v>
      </c>
      <c r="F44" t="str">
        <f t="shared" si="8"/>
        <v>D</v>
      </c>
      <c r="G44">
        <f t="shared" si="9"/>
        <v>0</v>
      </c>
      <c r="H44" t="s">
        <v>32</v>
      </c>
      <c r="I44">
        <f t="shared" si="10"/>
        <v>0</v>
      </c>
      <c r="J44">
        <f t="shared" si="17"/>
        <v>10249</v>
      </c>
      <c r="K44" s="15">
        <f t="shared" si="11"/>
        <v>596</v>
      </c>
      <c r="L44" s="15">
        <f t="shared" si="12"/>
        <v>290</v>
      </c>
      <c r="M44">
        <v>20</v>
      </c>
      <c r="N44">
        <v>11</v>
      </c>
      <c r="O44">
        <v>1</v>
      </c>
      <c r="P44">
        <v>4</v>
      </c>
      <c r="Q44" s="9">
        <v>127</v>
      </c>
      <c r="R44">
        <v>16</v>
      </c>
      <c r="S44" t="s">
        <v>68</v>
      </c>
      <c r="T44" s="11">
        <f t="shared" si="13"/>
        <v>17</v>
      </c>
      <c r="U44" s="11">
        <f t="shared" si="14"/>
        <v>22</v>
      </c>
      <c r="V44" t="str">
        <f t="shared" si="15"/>
        <v>OL11 5DR</v>
      </c>
      <c r="W44" t="str">
        <f t="shared" si="16"/>
        <v>MK1 1ST</v>
      </c>
      <c r="X44" s="12">
        <v>2176</v>
      </c>
      <c r="Y44" s="15">
        <f t="shared" si="6"/>
        <v>22</v>
      </c>
    </row>
    <row r="45" spans="1:25" x14ac:dyDescent="0.2">
      <c r="A45" t="s">
        <v>3</v>
      </c>
      <c r="B45" s="1">
        <v>42602</v>
      </c>
      <c r="C45" s="2" t="str">
        <f t="shared" si="7"/>
        <v>Sat</v>
      </c>
      <c r="D45" t="s">
        <v>18</v>
      </c>
      <c r="E45" t="s">
        <v>23</v>
      </c>
      <c r="F45" t="str">
        <f t="shared" si="8"/>
        <v>D</v>
      </c>
      <c r="G45">
        <f t="shared" si="9"/>
        <v>0</v>
      </c>
      <c r="H45" t="s">
        <v>32</v>
      </c>
      <c r="I45">
        <f t="shared" si="10"/>
        <v>0</v>
      </c>
      <c r="J45">
        <f t="shared" si="17"/>
        <v>9183</v>
      </c>
      <c r="K45" s="15">
        <f t="shared" si="11"/>
        <v>533</v>
      </c>
      <c r="L45" s="15">
        <f t="shared" si="12"/>
        <v>288</v>
      </c>
      <c r="M45">
        <v>3</v>
      </c>
      <c r="N45">
        <v>4</v>
      </c>
      <c r="O45">
        <v>7</v>
      </c>
      <c r="P45">
        <v>7</v>
      </c>
      <c r="Q45" s="9">
        <v>161</v>
      </c>
      <c r="R45">
        <v>17</v>
      </c>
      <c r="S45" t="s">
        <v>74</v>
      </c>
      <c r="T45" s="11">
        <f t="shared" si="13"/>
        <v>18</v>
      </c>
      <c r="U45" s="11">
        <f t="shared" si="14"/>
        <v>22</v>
      </c>
      <c r="V45" t="str">
        <f t="shared" si="15"/>
        <v>DN15 8TD</v>
      </c>
      <c r="W45" t="str">
        <f t="shared" si="16"/>
        <v>ME7 4DD</v>
      </c>
      <c r="X45" s="12">
        <v>3718</v>
      </c>
      <c r="Y45" s="15">
        <f t="shared" si="6"/>
        <v>23</v>
      </c>
    </row>
    <row r="46" spans="1:25" x14ac:dyDescent="0.2">
      <c r="A46" t="s">
        <v>3</v>
      </c>
      <c r="B46" s="1">
        <v>42602</v>
      </c>
      <c r="C46" s="2" t="str">
        <f t="shared" si="7"/>
        <v>Sat</v>
      </c>
      <c r="D46" t="s">
        <v>20</v>
      </c>
      <c r="E46" t="s">
        <v>15</v>
      </c>
      <c r="F46" t="str">
        <f t="shared" si="8"/>
        <v>D</v>
      </c>
      <c r="G46">
        <f t="shared" si="9"/>
        <v>0</v>
      </c>
      <c r="H46" t="s">
        <v>32</v>
      </c>
      <c r="I46">
        <f t="shared" si="10"/>
        <v>0</v>
      </c>
      <c r="J46">
        <f t="shared" si="17"/>
        <v>9875</v>
      </c>
      <c r="K46" s="15">
        <f t="shared" si="11"/>
        <v>583</v>
      </c>
      <c r="L46" s="15">
        <f t="shared" si="12"/>
        <v>285</v>
      </c>
      <c r="M46">
        <v>23</v>
      </c>
      <c r="N46">
        <v>2</v>
      </c>
      <c r="O46">
        <v>1</v>
      </c>
      <c r="P46">
        <v>7</v>
      </c>
      <c r="Q46" s="9">
        <v>68</v>
      </c>
      <c r="R46">
        <v>17</v>
      </c>
      <c r="S46" t="s">
        <v>68</v>
      </c>
      <c r="T46" s="11">
        <f t="shared" si="13"/>
        <v>20</v>
      </c>
      <c r="U46" s="11">
        <f t="shared" si="14"/>
        <v>20</v>
      </c>
      <c r="V46" t="str">
        <f t="shared" si="15"/>
        <v>SY2 6ST</v>
      </c>
      <c r="W46" t="str">
        <f t="shared" si="16"/>
        <v>S41 8NZ</v>
      </c>
      <c r="X46" s="12">
        <v>4936</v>
      </c>
      <c r="Y46" s="15">
        <f t="shared" si="6"/>
        <v>22</v>
      </c>
    </row>
    <row r="47" spans="1:25" x14ac:dyDescent="0.2">
      <c r="A47" t="s">
        <v>3</v>
      </c>
      <c r="B47" s="1">
        <v>42602</v>
      </c>
      <c r="C47" s="2" t="str">
        <f t="shared" si="7"/>
        <v>Sat</v>
      </c>
      <c r="D47" t="s">
        <v>22</v>
      </c>
      <c r="E47" t="s">
        <v>19</v>
      </c>
      <c r="F47" t="str">
        <f t="shared" si="8"/>
        <v>D</v>
      </c>
      <c r="G47">
        <f t="shared" si="9"/>
        <v>0</v>
      </c>
      <c r="H47" t="s">
        <v>32</v>
      </c>
      <c r="I47">
        <f t="shared" si="10"/>
        <v>0</v>
      </c>
      <c r="J47">
        <f t="shared" si="17"/>
        <v>12392</v>
      </c>
      <c r="K47" s="15">
        <f t="shared" si="11"/>
        <v>1159</v>
      </c>
      <c r="L47" s="15">
        <f t="shared" si="12"/>
        <v>395</v>
      </c>
      <c r="M47">
        <v>16</v>
      </c>
      <c r="N47">
        <v>17</v>
      </c>
      <c r="O47">
        <v>3</v>
      </c>
      <c r="P47">
        <v>3</v>
      </c>
      <c r="Q47" s="9">
        <v>141</v>
      </c>
      <c r="R47">
        <v>16</v>
      </c>
      <c r="T47" s="11">
        <f t="shared" si="13"/>
        <v>25</v>
      </c>
      <c r="U47" s="11">
        <f t="shared" si="14"/>
        <v>22</v>
      </c>
      <c r="V47" t="str">
        <f t="shared" si="15"/>
        <v>SS2 6NQ</v>
      </c>
      <c r="W47" t="str">
        <f t="shared" si="16"/>
        <v>BS7 0BF</v>
      </c>
      <c r="X47" s="12">
        <v>6084</v>
      </c>
      <c r="Y47" s="15">
        <f t="shared" si="6"/>
        <v>25</v>
      </c>
    </row>
    <row r="48" spans="1:25" x14ac:dyDescent="0.2">
      <c r="A48" t="s">
        <v>3</v>
      </c>
      <c r="B48" s="1">
        <v>42602</v>
      </c>
      <c r="C48" s="2" t="str">
        <f t="shared" si="7"/>
        <v>Sat</v>
      </c>
      <c r="D48" t="s">
        <v>24</v>
      </c>
      <c r="E48" t="s">
        <v>7</v>
      </c>
      <c r="F48" t="str">
        <f t="shared" si="8"/>
        <v>D</v>
      </c>
      <c r="G48">
        <f t="shared" si="9"/>
        <v>0</v>
      </c>
      <c r="H48" t="s">
        <v>32</v>
      </c>
      <c r="I48">
        <f t="shared" si="10"/>
        <v>0</v>
      </c>
      <c r="J48">
        <f t="shared" si="17"/>
        <v>15728</v>
      </c>
      <c r="K48" s="15">
        <f t="shared" si="11"/>
        <v>697</v>
      </c>
      <c r="L48" s="15">
        <f t="shared" si="12"/>
        <v>345</v>
      </c>
      <c r="M48">
        <v>14</v>
      </c>
      <c r="N48">
        <v>5</v>
      </c>
      <c r="O48">
        <v>4</v>
      </c>
      <c r="P48">
        <v>7</v>
      </c>
      <c r="Q48" s="9">
        <v>104</v>
      </c>
      <c r="R48">
        <v>17</v>
      </c>
      <c r="S48" t="s">
        <v>68</v>
      </c>
      <c r="T48" s="11">
        <f t="shared" si="13"/>
        <v>19</v>
      </c>
      <c r="U48" s="11">
        <f t="shared" si="14"/>
        <v>19</v>
      </c>
      <c r="V48" t="str">
        <f t="shared" si="15"/>
        <v>SN1 2ED</v>
      </c>
      <c r="W48" t="str">
        <f t="shared" si="16"/>
        <v>ST6 1AW</v>
      </c>
      <c r="X48" s="12">
        <v>6182</v>
      </c>
      <c r="Y48" s="15">
        <f t="shared" si="6"/>
        <v>25</v>
      </c>
    </row>
    <row r="49" spans="1:25" x14ac:dyDescent="0.2">
      <c r="A49" t="s">
        <v>3</v>
      </c>
      <c r="B49" s="1">
        <v>42602</v>
      </c>
      <c r="C49" s="2" t="str">
        <f t="shared" si="7"/>
        <v>Sat</v>
      </c>
      <c r="D49" t="s">
        <v>26</v>
      </c>
      <c r="E49" t="s">
        <v>9</v>
      </c>
      <c r="F49" t="str">
        <f t="shared" si="8"/>
        <v>D</v>
      </c>
      <c r="G49">
        <f t="shared" si="9"/>
        <v>0</v>
      </c>
      <c r="H49" t="s">
        <v>32</v>
      </c>
      <c r="I49">
        <f t="shared" si="10"/>
        <v>0</v>
      </c>
      <c r="J49">
        <f t="shared" si="17"/>
        <v>11300</v>
      </c>
      <c r="K49" s="15">
        <f t="shared" si="11"/>
        <v>680</v>
      </c>
      <c r="L49" s="15">
        <f t="shared" si="12"/>
        <v>253</v>
      </c>
      <c r="M49">
        <v>12</v>
      </c>
      <c r="N49">
        <v>9</v>
      </c>
      <c r="O49">
        <v>4</v>
      </c>
      <c r="P49">
        <v>4</v>
      </c>
      <c r="Q49" s="9">
        <v>114</v>
      </c>
      <c r="R49">
        <v>16</v>
      </c>
      <c r="T49" s="11">
        <f t="shared" si="13"/>
        <v>20</v>
      </c>
      <c r="U49" s="11">
        <f t="shared" si="14"/>
        <v>20</v>
      </c>
      <c r="V49" t="str">
        <f t="shared" si="15"/>
        <v>WS1 4SA</v>
      </c>
      <c r="W49" t="str">
        <f t="shared" si="16"/>
        <v>SE7 8BL</v>
      </c>
      <c r="X49" s="12">
        <v>4586</v>
      </c>
      <c r="Y49" s="15">
        <f t="shared" si="6"/>
        <v>25.5</v>
      </c>
    </row>
    <row r="50" spans="1:25" x14ac:dyDescent="0.2">
      <c r="A50" t="s">
        <v>3</v>
      </c>
      <c r="B50" s="1">
        <v>42609</v>
      </c>
      <c r="C50" s="2" t="str">
        <f t="shared" si="7"/>
        <v>Sat</v>
      </c>
      <c r="D50" t="s">
        <v>6</v>
      </c>
      <c r="E50" t="s">
        <v>11</v>
      </c>
      <c r="F50" t="str">
        <f t="shared" si="8"/>
        <v>D</v>
      </c>
      <c r="G50">
        <f t="shared" si="9"/>
        <v>0</v>
      </c>
      <c r="H50" t="s">
        <v>32</v>
      </c>
      <c r="I50">
        <f t="shared" si="10"/>
        <v>0</v>
      </c>
      <c r="J50">
        <f t="shared" si="17"/>
        <v>25136</v>
      </c>
      <c r="K50" s="15">
        <f t="shared" si="11"/>
        <v>729</v>
      </c>
      <c r="L50" s="15">
        <f t="shared" si="12"/>
        <v>149</v>
      </c>
      <c r="M50">
        <v>3</v>
      </c>
      <c r="N50">
        <v>13</v>
      </c>
      <c r="O50">
        <v>12</v>
      </c>
      <c r="P50">
        <v>5</v>
      </c>
      <c r="Q50" s="9">
        <v>23</v>
      </c>
      <c r="R50">
        <v>14</v>
      </c>
      <c r="S50" t="s">
        <v>70</v>
      </c>
      <c r="T50" s="11">
        <f t="shared" si="13"/>
        <v>25</v>
      </c>
      <c r="U50" s="11">
        <f t="shared" si="14"/>
        <v>20</v>
      </c>
      <c r="V50" t="str">
        <f t="shared" si="15"/>
        <v>BD8 7DY</v>
      </c>
      <c r="W50" t="str">
        <f t="shared" si="16"/>
        <v>OL1 2PA</v>
      </c>
      <c r="X50" s="12">
        <v>17793</v>
      </c>
      <c r="Y50" s="15">
        <f t="shared" si="6"/>
        <v>25</v>
      </c>
    </row>
    <row r="51" spans="1:25" x14ac:dyDescent="0.2">
      <c r="A51" t="s">
        <v>3</v>
      </c>
      <c r="B51" s="1">
        <v>42609</v>
      </c>
      <c r="C51" s="2" t="str">
        <f t="shared" si="7"/>
        <v>Sat</v>
      </c>
      <c r="D51" t="s">
        <v>9</v>
      </c>
      <c r="E51" t="s">
        <v>4</v>
      </c>
      <c r="F51" t="str">
        <f t="shared" si="8"/>
        <v>D</v>
      </c>
      <c r="G51">
        <f t="shared" si="9"/>
        <v>0</v>
      </c>
      <c r="H51" t="s">
        <v>32</v>
      </c>
      <c r="I51">
        <f t="shared" si="10"/>
        <v>0</v>
      </c>
      <c r="J51">
        <f t="shared" si="17"/>
        <v>26875</v>
      </c>
      <c r="K51" s="15">
        <f t="shared" si="11"/>
        <v>912</v>
      </c>
      <c r="L51" s="15">
        <f t="shared" si="12"/>
        <v>175</v>
      </c>
      <c r="M51">
        <v>5</v>
      </c>
      <c r="N51">
        <v>1</v>
      </c>
      <c r="O51">
        <v>7</v>
      </c>
      <c r="P51">
        <v>12</v>
      </c>
      <c r="Q51" s="9">
        <v>181</v>
      </c>
      <c r="R51">
        <v>21</v>
      </c>
      <c r="T51" s="11">
        <f t="shared" si="13"/>
        <v>20</v>
      </c>
      <c r="U51" s="11">
        <f t="shared" si="14"/>
        <v>20</v>
      </c>
      <c r="V51" t="str">
        <f t="shared" si="15"/>
        <v>SE7 8BL</v>
      </c>
      <c r="W51" t="str">
        <f t="shared" si="16"/>
        <v>BL6 6JW</v>
      </c>
      <c r="X51" s="12">
        <v>10926</v>
      </c>
      <c r="Y51" s="15">
        <f t="shared" si="6"/>
        <v>35</v>
      </c>
    </row>
    <row r="52" spans="1:25" x14ac:dyDescent="0.2">
      <c r="A52" t="s">
        <v>3</v>
      </c>
      <c r="B52" s="1">
        <v>42609</v>
      </c>
      <c r="C52" s="2" t="str">
        <f t="shared" si="7"/>
        <v>Sat</v>
      </c>
      <c r="D52" t="s">
        <v>15</v>
      </c>
      <c r="E52" t="s">
        <v>10</v>
      </c>
      <c r="F52" t="str">
        <f t="shared" si="8"/>
        <v>D</v>
      </c>
      <c r="G52">
        <f t="shared" si="9"/>
        <v>0</v>
      </c>
      <c r="H52" t="s">
        <v>32</v>
      </c>
      <c r="I52">
        <f t="shared" si="10"/>
        <v>0</v>
      </c>
      <c r="J52">
        <f t="shared" si="17"/>
        <v>10504</v>
      </c>
      <c r="K52" s="15">
        <f t="shared" si="11"/>
        <v>827</v>
      </c>
      <c r="L52" s="15">
        <f t="shared" si="12"/>
        <v>345</v>
      </c>
      <c r="M52">
        <v>4</v>
      </c>
      <c r="N52">
        <v>8</v>
      </c>
      <c r="O52">
        <v>7</v>
      </c>
      <c r="P52">
        <v>7</v>
      </c>
      <c r="Q52" s="9">
        <v>135</v>
      </c>
      <c r="R52">
        <v>18</v>
      </c>
      <c r="S52" t="s">
        <v>74</v>
      </c>
      <c r="T52" s="11">
        <f t="shared" si="13"/>
        <v>22</v>
      </c>
      <c r="U52" s="11">
        <f t="shared" si="14"/>
        <v>20</v>
      </c>
      <c r="V52" t="str">
        <f t="shared" si="15"/>
        <v>S41 8NZ</v>
      </c>
      <c r="W52" t="str">
        <f t="shared" si="16"/>
        <v>SE16 3LN</v>
      </c>
      <c r="X52" s="12">
        <v>5630</v>
      </c>
      <c r="Y52" s="15">
        <f t="shared" si="6"/>
        <v>26</v>
      </c>
    </row>
    <row r="53" spans="1:25" x14ac:dyDescent="0.2">
      <c r="A53" t="s">
        <v>3</v>
      </c>
      <c r="B53" s="1">
        <v>42609</v>
      </c>
      <c r="C53" s="2" t="str">
        <f t="shared" si="7"/>
        <v>Sat</v>
      </c>
      <c r="D53" t="s">
        <v>25</v>
      </c>
      <c r="E53" t="s">
        <v>12</v>
      </c>
      <c r="F53" t="str">
        <f t="shared" si="8"/>
        <v>D</v>
      </c>
      <c r="G53">
        <f t="shared" si="9"/>
        <v>0</v>
      </c>
      <c r="H53" t="s">
        <v>32</v>
      </c>
      <c r="I53">
        <f t="shared" si="10"/>
        <v>0</v>
      </c>
      <c r="J53">
        <f t="shared" si="17"/>
        <v>32609</v>
      </c>
      <c r="K53" s="15">
        <f t="shared" si="11"/>
        <v>843</v>
      </c>
      <c r="L53" s="15">
        <f t="shared" si="12"/>
        <v>299</v>
      </c>
      <c r="M53">
        <v>21</v>
      </c>
      <c r="N53">
        <v>15</v>
      </c>
      <c r="O53">
        <v>2</v>
      </c>
      <c r="P53">
        <v>4</v>
      </c>
      <c r="Q53" s="9">
        <v>28</v>
      </c>
      <c r="R53">
        <v>19</v>
      </c>
      <c r="T53" s="11">
        <f t="shared" si="13"/>
        <v>22</v>
      </c>
      <c r="U53" s="11">
        <f t="shared" si="14"/>
        <v>22</v>
      </c>
      <c r="V53" t="str">
        <f t="shared" si="15"/>
        <v>CV6 6GE</v>
      </c>
      <c r="W53" t="str">
        <f t="shared" si="16"/>
        <v>NN5 5QA</v>
      </c>
      <c r="X53" s="12">
        <v>10022</v>
      </c>
      <c r="Y53" s="15">
        <f t="shared" si="6"/>
        <v>26</v>
      </c>
    </row>
    <row r="54" spans="1:25" x14ac:dyDescent="0.2">
      <c r="A54" t="s">
        <v>3</v>
      </c>
      <c r="B54" s="1">
        <v>42609</v>
      </c>
      <c r="C54" s="2" t="str">
        <f t="shared" si="7"/>
        <v>Sat</v>
      </c>
      <c r="D54" t="s">
        <v>21</v>
      </c>
      <c r="E54" t="s">
        <v>17</v>
      </c>
      <c r="F54" t="str">
        <f t="shared" si="8"/>
        <v>D</v>
      </c>
      <c r="G54">
        <f t="shared" si="9"/>
        <v>0</v>
      </c>
      <c r="H54" t="s">
        <v>32</v>
      </c>
      <c r="I54">
        <f t="shared" si="10"/>
        <v>0</v>
      </c>
      <c r="J54">
        <f t="shared" si="17"/>
        <v>30500</v>
      </c>
      <c r="K54" s="15">
        <f t="shared" si="11"/>
        <v>598</v>
      </c>
      <c r="L54" s="15">
        <f t="shared" si="12"/>
        <v>312</v>
      </c>
      <c r="M54">
        <v>7</v>
      </c>
      <c r="N54">
        <v>11</v>
      </c>
      <c r="O54">
        <v>7</v>
      </c>
      <c r="P54">
        <v>6</v>
      </c>
      <c r="Q54" s="9">
        <v>44</v>
      </c>
      <c r="R54">
        <v>19</v>
      </c>
      <c r="T54" s="11">
        <f t="shared" si="13"/>
        <v>22</v>
      </c>
      <c r="U54" s="11">
        <f t="shared" si="14"/>
        <v>22</v>
      </c>
      <c r="V54" t="str">
        <f t="shared" si="15"/>
        <v>MK1 1ST</v>
      </c>
      <c r="W54" t="str">
        <f t="shared" si="16"/>
        <v>PE2 8AL</v>
      </c>
      <c r="X54" s="12">
        <v>10621</v>
      </c>
      <c r="Y54" s="15">
        <f t="shared" si="6"/>
        <v>27</v>
      </c>
    </row>
    <row r="55" spans="1:25" x14ac:dyDescent="0.2">
      <c r="A55" t="s">
        <v>3</v>
      </c>
      <c r="B55" s="1">
        <v>42609</v>
      </c>
      <c r="C55" s="2" t="str">
        <f t="shared" si="7"/>
        <v>Sat</v>
      </c>
      <c r="D55" t="s">
        <v>7</v>
      </c>
      <c r="E55" t="s">
        <v>18</v>
      </c>
      <c r="F55" t="str">
        <f t="shared" si="8"/>
        <v>D</v>
      </c>
      <c r="G55">
        <f t="shared" si="9"/>
        <v>0</v>
      </c>
      <c r="H55" t="s">
        <v>32</v>
      </c>
      <c r="I55">
        <f t="shared" si="10"/>
        <v>0</v>
      </c>
      <c r="J55">
        <f t="shared" si="17"/>
        <v>18947</v>
      </c>
      <c r="K55" s="15">
        <f t="shared" si="11"/>
        <v>508</v>
      </c>
      <c r="L55" s="15">
        <f t="shared" si="12"/>
        <v>345</v>
      </c>
      <c r="M55">
        <v>6</v>
      </c>
      <c r="N55">
        <v>2</v>
      </c>
      <c r="O55">
        <v>7</v>
      </c>
      <c r="P55">
        <v>10</v>
      </c>
      <c r="Q55" s="9">
        <v>72</v>
      </c>
      <c r="R55">
        <v>16</v>
      </c>
      <c r="S55" t="s">
        <v>68</v>
      </c>
      <c r="T55" s="11">
        <f t="shared" si="13"/>
        <v>22</v>
      </c>
      <c r="U55" s="11">
        <f t="shared" si="14"/>
        <v>22</v>
      </c>
      <c r="V55" t="str">
        <f t="shared" si="15"/>
        <v>ST6 1AW</v>
      </c>
      <c r="W55" t="str">
        <f t="shared" si="16"/>
        <v>DN15 8TD</v>
      </c>
      <c r="X55" s="12">
        <v>4557</v>
      </c>
      <c r="Y55" s="15">
        <f t="shared" si="6"/>
        <v>23</v>
      </c>
    </row>
    <row r="56" spans="1:25" x14ac:dyDescent="0.2">
      <c r="A56" t="s">
        <v>3</v>
      </c>
      <c r="B56" s="1">
        <v>42609</v>
      </c>
      <c r="C56" s="2" t="str">
        <f t="shared" si="7"/>
        <v>Sat</v>
      </c>
      <c r="D56" t="s">
        <v>16</v>
      </c>
      <c r="E56" t="s">
        <v>27</v>
      </c>
      <c r="F56" t="str">
        <f t="shared" si="8"/>
        <v>D</v>
      </c>
      <c r="G56">
        <f t="shared" si="9"/>
        <v>0</v>
      </c>
      <c r="H56" t="s">
        <v>32</v>
      </c>
      <c r="I56">
        <f t="shared" si="10"/>
        <v>0</v>
      </c>
      <c r="J56">
        <f t="shared" si="17"/>
        <v>10249</v>
      </c>
      <c r="K56" s="15">
        <f t="shared" si="11"/>
        <v>622</v>
      </c>
      <c r="L56" s="15">
        <f t="shared" si="12"/>
        <v>290</v>
      </c>
      <c r="M56">
        <v>22</v>
      </c>
      <c r="N56">
        <v>23</v>
      </c>
      <c r="O56">
        <v>1</v>
      </c>
      <c r="P56">
        <v>1</v>
      </c>
      <c r="Q56" s="9">
        <v>173</v>
      </c>
      <c r="R56">
        <v>14</v>
      </c>
      <c r="S56" t="s">
        <v>68</v>
      </c>
      <c r="T56" s="11">
        <f t="shared" si="13"/>
        <v>17</v>
      </c>
      <c r="U56" s="11">
        <f t="shared" si="14"/>
        <v>22</v>
      </c>
      <c r="V56" t="str">
        <f t="shared" si="15"/>
        <v>OL11 5DR</v>
      </c>
      <c r="W56" t="str">
        <f t="shared" si="16"/>
        <v>KT1 3PB</v>
      </c>
      <c r="X56" s="12">
        <v>2274</v>
      </c>
      <c r="Y56" s="15">
        <f t="shared" si="6"/>
        <v>22</v>
      </c>
    </row>
    <row r="57" spans="1:25" x14ac:dyDescent="0.2">
      <c r="A57" t="s">
        <v>3</v>
      </c>
      <c r="B57" s="1">
        <v>42609</v>
      </c>
      <c r="C57" s="2" t="str">
        <f t="shared" si="7"/>
        <v>Sat</v>
      </c>
      <c r="D57" t="s">
        <v>5</v>
      </c>
      <c r="E57" t="s">
        <v>14</v>
      </c>
      <c r="F57" t="str">
        <f t="shared" si="8"/>
        <v>D</v>
      </c>
      <c r="G57">
        <f t="shared" si="9"/>
        <v>0</v>
      </c>
      <c r="H57" t="s">
        <v>32</v>
      </c>
      <c r="I57">
        <f t="shared" si="10"/>
        <v>0</v>
      </c>
      <c r="J57">
        <f t="shared" si="17"/>
        <v>32702</v>
      </c>
      <c r="K57" s="15">
        <f t="shared" si="11"/>
        <v>1000</v>
      </c>
      <c r="L57" s="15">
        <f t="shared" si="12"/>
        <v>288</v>
      </c>
      <c r="M57">
        <v>24</v>
      </c>
      <c r="N57">
        <v>19</v>
      </c>
      <c r="O57">
        <v>1</v>
      </c>
      <c r="P57">
        <v>4</v>
      </c>
      <c r="Q57" s="9">
        <v>115</v>
      </c>
      <c r="R57">
        <v>14</v>
      </c>
      <c r="S57" t="s">
        <v>69</v>
      </c>
      <c r="T57" s="11">
        <f t="shared" si="13"/>
        <v>20</v>
      </c>
      <c r="U57" s="11">
        <f t="shared" si="14"/>
        <v>20</v>
      </c>
      <c r="V57" t="str">
        <f t="shared" si="15"/>
        <v>S2 4SU</v>
      </c>
      <c r="W57" t="str">
        <f t="shared" si="16"/>
        <v>OX4 4XP</v>
      </c>
      <c r="X57" s="12">
        <v>19313</v>
      </c>
      <c r="Y57" s="15">
        <f t="shared" si="6"/>
        <v>29</v>
      </c>
    </row>
    <row r="58" spans="1:25" x14ac:dyDescent="0.2">
      <c r="A58" t="s">
        <v>3</v>
      </c>
      <c r="B58" s="1">
        <v>42609</v>
      </c>
      <c r="C58" s="2" t="str">
        <f t="shared" si="7"/>
        <v>Sat</v>
      </c>
      <c r="D58" t="s">
        <v>20</v>
      </c>
      <c r="E58" t="s">
        <v>23</v>
      </c>
      <c r="F58" t="str">
        <f t="shared" si="8"/>
        <v>D</v>
      </c>
      <c r="G58">
        <f t="shared" si="9"/>
        <v>0</v>
      </c>
      <c r="H58" t="s">
        <v>32</v>
      </c>
      <c r="I58">
        <f t="shared" si="10"/>
        <v>0</v>
      </c>
      <c r="J58">
        <f t="shared" si="17"/>
        <v>9875</v>
      </c>
      <c r="K58" s="15">
        <f t="shared" si="11"/>
        <v>533</v>
      </c>
      <c r="L58" s="15">
        <f t="shared" si="12"/>
        <v>285</v>
      </c>
      <c r="M58">
        <v>20</v>
      </c>
      <c r="N58">
        <v>10</v>
      </c>
      <c r="O58">
        <v>4</v>
      </c>
      <c r="P58">
        <v>7</v>
      </c>
      <c r="Q58" s="9">
        <v>167</v>
      </c>
      <c r="R58">
        <v>13</v>
      </c>
      <c r="S58" t="s">
        <v>75</v>
      </c>
      <c r="T58" s="11">
        <f t="shared" si="13"/>
        <v>20</v>
      </c>
      <c r="U58" s="11">
        <f t="shared" si="14"/>
        <v>20</v>
      </c>
      <c r="V58" t="str">
        <f t="shared" si="15"/>
        <v>SY2 6ST</v>
      </c>
      <c r="W58" t="str">
        <f t="shared" si="16"/>
        <v>ME7 4DD</v>
      </c>
      <c r="X58" s="12">
        <v>4611</v>
      </c>
      <c r="Y58" s="15">
        <f t="shared" si="6"/>
        <v>22</v>
      </c>
    </row>
    <row r="59" spans="1:25" x14ac:dyDescent="0.2">
      <c r="A59" t="s">
        <v>3</v>
      </c>
      <c r="B59" s="1">
        <v>42609</v>
      </c>
      <c r="C59" s="2" t="str">
        <f t="shared" si="7"/>
        <v>Sat</v>
      </c>
      <c r="D59" t="s">
        <v>22</v>
      </c>
      <c r="E59" t="s">
        <v>13</v>
      </c>
      <c r="F59" t="str">
        <f t="shared" si="8"/>
        <v>D</v>
      </c>
      <c r="G59">
        <f t="shared" si="9"/>
        <v>0</v>
      </c>
      <c r="H59" t="s">
        <v>32</v>
      </c>
      <c r="I59">
        <f t="shared" si="10"/>
        <v>0</v>
      </c>
      <c r="J59">
        <f t="shared" si="17"/>
        <v>12392</v>
      </c>
      <c r="K59" s="15">
        <f t="shared" si="11"/>
        <v>210</v>
      </c>
      <c r="L59" s="15">
        <f t="shared" si="12"/>
        <v>395</v>
      </c>
      <c r="M59">
        <v>16</v>
      </c>
      <c r="N59">
        <v>12</v>
      </c>
      <c r="O59">
        <v>4</v>
      </c>
      <c r="P59">
        <v>5</v>
      </c>
      <c r="Q59" s="9">
        <v>226</v>
      </c>
      <c r="R59">
        <v>14</v>
      </c>
      <c r="T59" s="11">
        <f t="shared" si="13"/>
        <v>25</v>
      </c>
      <c r="U59" s="11">
        <f t="shared" si="14"/>
        <v>22</v>
      </c>
      <c r="V59" t="str">
        <f t="shared" si="15"/>
        <v>SS2 6NQ</v>
      </c>
      <c r="W59" t="str">
        <f t="shared" si="16"/>
        <v>FY7 6TX</v>
      </c>
      <c r="X59" s="12">
        <v>5507</v>
      </c>
      <c r="Y59" s="15">
        <f t="shared" si="6"/>
        <v>25</v>
      </c>
    </row>
    <row r="60" spans="1:25" x14ac:dyDescent="0.2">
      <c r="A60" t="s">
        <v>3</v>
      </c>
      <c r="B60" s="1">
        <v>42609</v>
      </c>
      <c r="C60" s="2" t="str">
        <f t="shared" si="7"/>
        <v>Sat</v>
      </c>
      <c r="D60" t="s">
        <v>26</v>
      </c>
      <c r="E60" t="s">
        <v>8</v>
      </c>
      <c r="F60" t="str">
        <f t="shared" si="8"/>
        <v>D</v>
      </c>
      <c r="G60">
        <f t="shared" si="9"/>
        <v>0</v>
      </c>
      <c r="H60" t="s">
        <v>32</v>
      </c>
      <c r="I60">
        <f t="shared" si="10"/>
        <v>0</v>
      </c>
      <c r="J60">
        <f t="shared" si="17"/>
        <v>11300</v>
      </c>
      <c r="K60" s="15">
        <f t="shared" si="11"/>
        <v>608</v>
      </c>
      <c r="L60" s="15">
        <f t="shared" si="12"/>
        <v>253</v>
      </c>
      <c r="M60">
        <v>17</v>
      </c>
      <c r="N60">
        <v>14</v>
      </c>
      <c r="O60">
        <v>4</v>
      </c>
      <c r="P60">
        <v>4</v>
      </c>
      <c r="Q60" s="9">
        <v>71</v>
      </c>
      <c r="R60">
        <v>16</v>
      </c>
      <c r="T60" s="11">
        <f t="shared" si="13"/>
        <v>20</v>
      </c>
      <c r="U60" s="11">
        <f t="shared" si="14"/>
        <v>20</v>
      </c>
      <c r="V60" t="str">
        <f t="shared" si="15"/>
        <v>WS1 4SA</v>
      </c>
      <c r="W60" t="str">
        <f t="shared" si="16"/>
        <v>BL9 9HR</v>
      </c>
      <c r="X60" s="12">
        <v>4393</v>
      </c>
      <c r="Y60" s="15">
        <f t="shared" si="6"/>
        <v>25.5</v>
      </c>
    </row>
    <row r="61" spans="1:25" x14ac:dyDescent="0.2">
      <c r="A61" t="s">
        <v>3</v>
      </c>
      <c r="B61" s="1">
        <v>42616</v>
      </c>
      <c r="C61" s="2" t="str">
        <f t="shared" si="7"/>
        <v>Sat</v>
      </c>
      <c r="D61" t="s">
        <v>27</v>
      </c>
      <c r="E61" t="s">
        <v>15</v>
      </c>
      <c r="F61" t="str">
        <f t="shared" si="8"/>
        <v>D</v>
      </c>
      <c r="G61">
        <f t="shared" si="9"/>
        <v>0</v>
      </c>
      <c r="H61" t="s">
        <v>32</v>
      </c>
      <c r="I61">
        <f t="shared" si="10"/>
        <v>0</v>
      </c>
      <c r="J61">
        <f t="shared" si="17"/>
        <v>4850</v>
      </c>
      <c r="K61" s="15">
        <f t="shared" si="11"/>
        <v>583</v>
      </c>
      <c r="L61" s="15">
        <f t="shared" si="12"/>
        <v>260</v>
      </c>
      <c r="M61">
        <v>24</v>
      </c>
      <c r="N61">
        <v>1</v>
      </c>
      <c r="O61">
        <v>5</v>
      </c>
      <c r="P61">
        <v>6</v>
      </c>
      <c r="Q61" s="9">
        <v>137</v>
      </c>
      <c r="R61">
        <v>19</v>
      </c>
      <c r="T61" s="11">
        <f t="shared" si="13"/>
        <v>17</v>
      </c>
      <c r="U61" s="11">
        <f t="shared" si="14"/>
        <v>17</v>
      </c>
      <c r="V61" t="str">
        <f t="shared" si="15"/>
        <v>KT1 3PB</v>
      </c>
      <c r="W61" t="str">
        <f t="shared" si="16"/>
        <v>S41 8NZ</v>
      </c>
      <c r="X61" s="12">
        <v>4425</v>
      </c>
      <c r="Y61" s="15">
        <f t="shared" si="6"/>
        <v>29</v>
      </c>
    </row>
    <row r="62" spans="1:25" x14ac:dyDescent="0.2">
      <c r="A62" t="s">
        <v>3</v>
      </c>
      <c r="B62" s="1">
        <v>42616</v>
      </c>
      <c r="C62" s="2" t="str">
        <f t="shared" si="7"/>
        <v>Sat</v>
      </c>
      <c r="D62" t="s">
        <v>4</v>
      </c>
      <c r="E62" t="s">
        <v>22</v>
      </c>
      <c r="F62" t="str">
        <f t="shared" si="8"/>
        <v>D</v>
      </c>
      <c r="G62">
        <f t="shared" si="9"/>
        <v>0</v>
      </c>
      <c r="H62" t="s">
        <v>32</v>
      </c>
      <c r="I62">
        <f t="shared" si="10"/>
        <v>0</v>
      </c>
      <c r="J62">
        <f t="shared" si="17"/>
        <v>28723</v>
      </c>
      <c r="K62" s="15">
        <f t="shared" si="11"/>
        <v>635</v>
      </c>
      <c r="L62" s="15">
        <f t="shared" si="12"/>
        <v>280</v>
      </c>
      <c r="M62">
        <v>1</v>
      </c>
      <c r="N62">
        <v>21</v>
      </c>
      <c r="O62">
        <v>11</v>
      </c>
      <c r="P62">
        <v>5</v>
      </c>
      <c r="Q62" s="9">
        <v>196</v>
      </c>
      <c r="R62">
        <v>16</v>
      </c>
      <c r="S62" t="s">
        <v>68</v>
      </c>
      <c r="T62" s="11">
        <f t="shared" si="13"/>
        <v>15</v>
      </c>
      <c r="U62" s="11">
        <f t="shared" si="14"/>
        <v>15</v>
      </c>
      <c r="V62" t="str">
        <f t="shared" si="15"/>
        <v>BL6 6JW</v>
      </c>
      <c r="W62" t="str">
        <f t="shared" si="16"/>
        <v>SS2 6NQ</v>
      </c>
      <c r="X62" s="12">
        <v>13519</v>
      </c>
      <c r="Y62" s="15">
        <f t="shared" si="6"/>
        <v>30</v>
      </c>
    </row>
    <row r="63" spans="1:25" x14ac:dyDescent="0.2">
      <c r="A63" t="s">
        <v>3</v>
      </c>
      <c r="B63" s="1">
        <v>42616</v>
      </c>
      <c r="C63" s="2" t="str">
        <f t="shared" si="7"/>
        <v>Sat</v>
      </c>
      <c r="D63" t="s">
        <v>8</v>
      </c>
      <c r="E63" t="s">
        <v>7</v>
      </c>
      <c r="F63" t="str">
        <f t="shared" si="8"/>
        <v>D</v>
      </c>
      <c r="G63">
        <f t="shared" si="9"/>
        <v>0</v>
      </c>
      <c r="H63" t="s">
        <v>32</v>
      </c>
      <c r="I63">
        <f t="shared" si="10"/>
        <v>0</v>
      </c>
      <c r="J63">
        <f t="shared" si="17"/>
        <v>11841</v>
      </c>
      <c r="K63" s="15">
        <f t="shared" si="11"/>
        <v>697</v>
      </c>
      <c r="L63" s="15">
        <f t="shared" si="12"/>
        <v>275</v>
      </c>
      <c r="M63">
        <v>15</v>
      </c>
      <c r="N63">
        <v>7</v>
      </c>
      <c r="O63">
        <v>5</v>
      </c>
      <c r="P63">
        <v>9</v>
      </c>
      <c r="Q63" s="9">
        <v>37</v>
      </c>
      <c r="R63">
        <v>16</v>
      </c>
      <c r="S63" t="s">
        <v>68</v>
      </c>
      <c r="T63" s="11">
        <f t="shared" si="13"/>
        <v>18</v>
      </c>
      <c r="U63" s="11">
        <f t="shared" si="14"/>
        <v>18</v>
      </c>
      <c r="V63" t="str">
        <f t="shared" si="15"/>
        <v>BL9 9HR</v>
      </c>
      <c r="W63" t="str">
        <f t="shared" si="16"/>
        <v>ST6 1AW</v>
      </c>
      <c r="X63" s="12">
        <v>4042</v>
      </c>
      <c r="Y63" s="15">
        <f t="shared" si="6"/>
        <v>22</v>
      </c>
    </row>
    <row r="64" spans="1:25" x14ac:dyDescent="0.2">
      <c r="A64" t="s">
        <v>3</v>
      </c>
      <c r="B64" s="1">
        <v>42616</v>
      </c>
      <c r="C64" s="2" t="str">
        <f t="shared" si="7"/>
        <v>Sat</v>
      </c>
      <c r="D64" t="s">
        <v>13</v>
      </c>
      <c r="E64" t="s">
        <v>25</v>
      </c>
      <c r="F64" t="str">
        <f t="shared" si="8"/>
        <v>D</v>
      </c>
      <c r="G64">
        <f t="shared" si="9"/>
        <v>0</v>
      </c>
      <c r="H64" t="s">
        <v>32</v>
      </c>
      <c r="I64">
        <f t="shared" si="10"/>
        <v>0</v>
      </c>
      <c r="J64">
        <f t="shared" si="17"/>
        <v>5327</v>
      </c>
      <c r="K64" s="15">
        <f t="shared" si="11"/>
        <v>1280</v>
      </c>
      <c r="L64" s="15">
        <f t="shared" si="12"/>
        <v>210</v>
      </c>
      <c r="M64">
        <v>8</v>
      </c>
      <c r="N64">
        <v>22</v>
      </c>
      <c r="O64">
        <v>9</v>
      </c>
      <c r="P64">
        <v>3</v>
      </c>
      <c r="Q64" s="9">
        <v>120</v>
      </c>
      <c r="R64">
        <v>15</v>
      </c>
      <c r="S64" t="s">
        <v>74</v>
      </c>
      <c r="T64" s="11">
        <f t="shared" si="13"/>
        <v>21.5</v>
      </c>
      <c r="U64" s="11">
        <f t="shared" si="14"/>
        <v>21.5</v>
      </c>
      <c r="V64" t="str">
        <f t="shared" si="15"/>
        <v>FY7 6TX</v>
      </c>
      <c r="W64" t="str">
        <f t="shared" si="16"/>
        <v>CV6 6GE</v>
      </c>
      <c r="X64" s="12">
        <v>3557</v>
      </c>
      <c r="Y64" s="15">
        <f t="shared" si="6"/>
        <v>23.5</v>
      </c>
    </row>
    <row r="65" spans="1:25" x14ac:dyDescent="0.2">
      <c r="A65" t="s">
        <v>3</v>
      </c>
      <c r="B65" s="1">
        <v>42616</v>
      </c>
      <c r="C65" s="2" t="str">
        <f t="shared" si="7"/>
        <v>Sat</v>
      </c>
      <c r="D65" t="s">
        <v>10</v>
      </c>
      <c r="E65" t="s">
        <v>6</v>
      </c>
      <c r="F65" t="str">
        <f t="shared" si="8"/>
        <v>D</v>
      </c>
      <c r="G65">
        <f t="shared" si="9"/>
        <v>0</v>
      </c>
      <c r="H65" t="s">
        <v>32</v>
      </c>
      <c r="I65">
        <f t="shared" si="10"/>
        <v>0</v>
      </c>
      <c r="J65">
        <f t="shared" si="17"/>
        <v>20146</v>
      </c>
      <c r="K65" s="15">
        <f t="shared" si="11"/>
        <v>1437</v>
      </c>
      <c r="L65" s="15">
        <f t="shared" si="12"/>
        <v>333</v>
      </c>
      <c r="M65">
        <v>5</v>
      </c>
      <c r="N65">
        <v>2</v>
      </c>
      <c r="O65">
        <v>8</v>
      </c>
      <c r="P65">
        <v>11</v>
      </c>
      <c r="Q65" s="9">
        <v>176</v>
      </c>
      <c r="R65">
        <v>17</v>
      </c>
      <c r="S65" t="s">
        <v>68</v>
      </c>
      <c r="T65" s="11">
        <f t="shared" si="13"/>
        <v>22</v>
      </c>
      <c r="U65" s="11">
        <f t="shared" si="14"/>
        <v>23</v>
      </c>
      <c r="V65" t="str">
        <f t="shared" si="15"/>
        <v>SE16 3LN</v>
      </c>
      <c r="W65" t="str">
        <f t="shared" si="16"/>
        <v>BD8 7DY</v>
      </c>
      <c r="X65" s="12">
        <v>9067</v>
      </c>
      <c r="Y65" s="15">
        <f t="shared" si="6"/>
        <v>30</v>
      </c>
    </row>
    <row r="66" spans="1:25" x14ac:dyDescent="0.2">
      <c r="A66" t="s">
        <v>3</v>
      </c>
      <c r="B66" s="1">
        <v>42616</v>
      </c>
      <c r="C66" s="2" t="str">
        <f t="shared" si="7"/>
        <v>Sat</v>
      </c>
      <c r="D66" t="s">
        <v>11</v>
      </c>
      <c r="E66" t="s">
        <v>20</v>
      </c>
      <c r="F66" t="str">
        <f t="shared" si="8"/>
        <v>D</v>
      </c>
      <c r="G66">
        <f t="shared" si="9"/>
        <v>0</v>
      </c>
      <c r="H66" t="s">
        <v>32</v>
      </c>
      <c r="I66">
        <f t="shared" si="10"/>
        <v>0</v>
      </c>
      <c r="J66">
        <f t="shared" si="17"/>
        <v>13559</v>
      </c>
      <c r="K66" s="15">
        <f t="shared" si="11"/>
        <v>438</v>
      </c>
      <c r="L66" s="15">
        <f t="shared" si="12"/>
        <v>300</v>
      </c>
      <c r="M66">
        <v>14</v>
      </c>
      <c r="N66">
        <v>21</v>
      </c>
      <c r="O66">
        <v>6</v>
      </c>
      <c r="P66">
        <v>7</v>
      </c>
      <c r="Q66" s="9">
        <v>65</v>
      </c>
      <c r="R66">
        <v>15</v>
      </c>
      <c r="S66" t="s">
        <v>68</v>
      </c>
      <c r="T66" s="11">
        <f t="shared" si="13"/>
        <v>22</v>
      </c>
      <c r="U66" s="11">
        <f t="shared" si="14"/>
        <v>24</v>
      </c>
      <c r="V66" t="str">
        <f t="shared" si="15"/>
        <v>OL1 2PA</v>
      </c>
      <c r="W66" t="str">
        <f t="shared" si="16"/>
        <v>SY2 6ST</v>
      </c>
      <c r="X66" s="12">
        <v>3697</v>
      </c>
      <c r="Y66" s="15">
        <f t="shared" ref="Y66:Y129" si="18">IF(D66="AFC Wimbledon",29,IF(D66="Bolton",30,IF(D66="Bury",22,IF(D66="Bradford",25,IF(D66="Bristol Rvs",26,IF(D66="Charlton",35,IF(D66="Chesterfield",26,IF(D66="Coventry",26,IF(D66="Gillingham",28,IF(D66="Millwall",30,IF(D66="Milton Keynes Dons",27,IF(D66="Northampton",24,IF(D66="Oldham",24,IF(D66="Oxford",24,IF(D66="Peterboro",26,IF(D66="Port Vale",23,IF(D66="Rochdale",22,IF(D66="Scunthorpe",23,IF(D66="Sheffield United",29,IF(D66="Southend",25,IF(D66="Shrewsbury",22,IF(D66="Swindon",25,IF(D66="Walsall",25.5,IF(D66="Fleetwood Town",23.5,"Unknown"))))))))))))))))))))))))</f>
        <v>24</v>
      </c>
    </row>
    <row r="67" spans="1:25" x14ac:dyDescent="0.2">
      <c r="A67" t="s">
        <v>3</v>
      </c>
      <c r="B67" s="1">
        <v>42616</v>
      </c>
      <c r="C67" s="2" t="str">
        <f t="shared" ref="C67:C130" si="19">TEXT(B67,"ddd")</f>
        <v>Sat</v>
      </c>
      <c r="D67" t="s">
        <v>14</v>
      </c>
      <c r="E67" t="s">
        <v>16</v>
      </c>
      <c r="F67" t="str">
        <f t="shared" ref="F67:F130" si="20">IF(C67="Sat","D",IF(C67="Sun","D","E"))</f>
        <v>D</v>
      </c>
      <c r="G67">
        <f t="shared" ref="G67:G130" si="21">IF(F67="D",0,1)</f>
        <v>0</v>
      </c>
      <c r="H67" t="s">
        <v>32</v>
      </c>
      <c r="I67">
        <f t="shared" ref="I67:I130" si="22">IF(H67="N",0,1)</f>
        <v>0</v>
      </c>
      <c r="J67">
        <f t="shared" si="17"/>
        <v>12500</v>
      </c>
      <c r="K67" s="15">
        <f t="shared" ref="K67:K130" si="23">IF(E67="AFC Wimbledon",622,IF(E67="Bolton",912,IF(E67="Bury",608,IF(E67="Bradford",1437,IF(E67="Bristol Rvs",1159,IF(E67="Charlton",680,IF(E67="Chesterfield",583,IF(E67="Coventry",1280,IF(E67="Gillingham",533,IF(E67="Millwall",827,IF(E67="Milton Keynes Dons",596,IF(E67="Northampton",843,IF(E67="Oldham",729,IF(E67="Oxford",1000,IF(E67="Peterboro",598,IF(E67="Port Vale",697,IF(E67="Rochdale",497,IF(E67="Scunthorpe",508,IF(E67="Sheffield United",1622,IF(E67="Southend",635,IF(E67="Shrewsbury",438,IF(E67="Swindon",503,IF(E67="Walsall",792,IF(E67="Fleetwood Town",210,"Unknown"))))))))))))))))))))))))</f>
        <v>497</v>
      </c>
      <c r="L67" s="15">
        <f t="shared" ref="L67:L130" si="24">IF(D67="AFC Wimbledon",260,IF(D67="Bolton",280,IF(D67="Bury",275,IF(D67="Bradford",149,IF(D67="Bristol Rvs",260,IF(D67="Charlton",175,IF(D67="Chesterfield",345,IF(D67="Coventry",299,IF(D67="Gillingham",285,IF(D67="Millwall",333,IF(D67="Milton Keynes Dons",312,IF(D67="Northampton",249,IF(D67="Oldham",300,IF(D67="Oxford",290,IF(D67="Peterboro",295,IF(D67="Port Vale",345,IF(D67="Rochdale",290,IF(D67="Scunthorpe",288,IF(D67="Sheffield United",288,IF(D67="Southend",395,IF(D67="Shrewsbury",285,IF(D67="Swindon",345,IF(D67="Walsall",253,IF(D67="Fleetwood Town",210,"Unknown"))))))))))))))))))))))))</f>
        <v>290</v>
      </c>
      <c r="M67">
        <v>19</v>
      </c>
      <c r="N67">
        <v>23</v>
      </c>
      <c r="O67">
        <v>6</v>
      </c>
      <c r="P67">
        <v>2</v>
      </c>
      <c r="Q67" s="9">
        <v>138</v>
      </c>
      <c r="R67">
        <v>13</v>
      </c>
      <c r="T67" s="11">
        <f t="shared" ref="T67:T130" si="25">IF(D67="AFC Wimbledon",17,IF(D67="Bolton",15,IF(D67="Bury",18,IF(D67="Bradford",25,IF(D67="Bristol Rvs",18,IF(D67="Charlton",20,IF(D67="Chesterfield",22,IF(D67="Coventry",22,IF(D67="Gillingham",12,IF(D67="Millwall",22,IF(D67="Milton Keynes Dons",22,IF(D67="Northampton",24,IF(D67="Oldham",22,IF(D67="Oxford",20,IF(D67="Peterboro",21,IF(D67="Port Vale",22,IF(D67="Rochdale",17,IF(D67="Scunthorpe",18,IF(D67="Sheffield United",20,IF(D67="Southend",25,IF(D67="Shrewsbury",20,IF(D67="Swindon",19,IF(D67="Walsall",20,IF(D67="Fleetwood Town",21.5,"Unknown"))))))))))))))))))))))))</f>
        <v>20</v>
      </c>
      <c r="U67" s="11">
        <f t="shared" ref="U67:U130" si="26">IF(D67="AFC Wimbledon",17,IF(D67="Bolton",15,IF(D67="Bury",18,IF(D67="Bradford",20,IF(D67="Bristol Rvs",16,IF(D67="Charlton",20,IF(D67="Chesterfield",20,IF(D67="Coventry",22,IF(D67="Gillingham",10,IF(D67="Millwall",23,IF(D67="Milton Keynes Dons",22,IF(D67="Northampton",24,IF(D67="Oldham",24,IF(D67="Oxford",21,IF(D67="Peterboro",20,IF(D67="Port Vale",22,IF(D67="Rochdale",22,IF(D67="Scunthorpe",22,IF(D67="Sheffield United",20,IF(D67="Southend",22,IF(D67="Shrewsbury",20,IF(D67="Swindon",19,IF(D67="Walsall",20,IF(D67="Fleetwood Town",21.5,"Unknown"))))))))))))))))))))))))</f>
        <v>21</v>
      </c>
      <c r="V67" t="str">
        <f t="shared" si="15"/>
        <v>OX4 4XP</v>
      </c>
      <c r="W67" t="str">
        <f t="shared" si="16"/>
        <v>OL11 5DR</v>
      </c>
      <c r="X67" s="12">
        <v>6939</v>
      </c>
      <c r="Y67" s="15">
        <f t="shared" si="18"/>
        <v>24</v>
      </c>
    </row>
    <row r="68" spans="1:25" x14ac:dyDescent="0.2">
      <c r="A68" t="s">
        <v>3</v>
      </c>
      <c r="B68" s="1">
        <v>42616</v>
      </c>
      <c r="C68" s="2" t="str">
        <f t="shared" si="19"/>
        <v>Sat</v>
      </c>
      <c r="D68" t="s">
        <v>17</v>
      </c>
      <c r="E68" t="s">
        <v>24</v>
      </c>
      <c r="F68" t="str">
        <f t="shared" si="20"/>
        <v>D</v>
      </c>
      <c r="G68">
        <f t="shared" si="21"/>
        <v>0</v>
      </c>
      <c r="H68" t="s">
        <v>32</v>
      </c>
      <c r="I68">
        <f t="shared" si="22"/>
        <v>0</v>
      </c>
      <c r="J68">
        <f t="shared" si="17"/>
        <v>15314</v>
      </c>
      <c r="K68" s="15">
        <f t="shared" si="23"/>
        <v>503</v>
      </c>
      <c r="L68" s="15">
        <f t="shared" si="24"/>
        <v>295</v>
      </c>
      <c r="M68">
        <v>7</v>
      </c>
      <c r="N68">
        <v>13</v>
      </c>
      <c r="O68">
        <v>7</v>
      </c>
      <c r="P68">
        <v>8</v>
      </c>
      <c r="Q68" s="9">
        <v>95</v>
      </c>
      <c r="R68">
        <v>14</v>
      </c>
      <c r="T68" s="11">
        <f t="shared" si="25"/>
        <v>21</v>
      </c>
      <c r="U68" s="11">
        <f t="shared" si="26"/>
        <v>20</v>
      </c>
      <c r="V68" t="str">
        <f t="shared" si="15"/>
        <v>PE2 8AL</v>
      </c>
      <c r="W68" t="str">
        <f t="shared" si="16"/>
        <v>SN1 2ED</v>
      </c>
      <c r="X68" s="12">
        <v>4501</v>
      </c>
      <c r="Y68" s="15">
        <f t="shared" si="18"/>
        <v>26</v>
      </c>
    </row>
    <row r="69" spans="1:25" x14ac:dyDescent="0.2">
      <c r="A69" t="s">
        <v>3</v>
      </c>
      <c r="B69" s="1">
        <v>42617</v>
      </c>
      <c r="C69" s="2" t="str">
        <f t="shared" si="19"/>
        <v>Sun</v>
      </c>
      <c r="D69" t="s">
        <v>23</v>
      </c>
      <c r="E69" t="s">
        <v>5</v>
      </c>
      <c r="F69" t="str">
        <f t="shared" si="20"/>
        <v>D</v>
      </c>
      <c r="G69">
        <f t="shared" si="21"/>
        <v>0</v>
      </c>
      <c r="H69" t="s">
        <v>32</v>
      </c>
      <c r="I69">
        <f t="shared" si="22"/>
        <v>0</v>
      </c>
      <c r="J69">
        <f t="shared" si="17"/>
        <v>11582</v>
      </c>
      <c r="K69" s="15">
        <f t="shared" si="23"/>
        <v>1622</v>
      </c>
      <c r="L69" s="15">
        <f t="shared" si="24"/>
        <v>285</v>
      </c>
      <c r="M69">
        <v>6</v>
      </c>
      <c r="N69">
        <v>20</v>
      </c>
      <c r="O69">
        <v>7</v>
      </c>
      <c r="P69">
        <v>7</v>
      </c>
      <c r="Q69" s="9">
        <v>162</v>
      </c>
      <c r="R69">
        <v>19</v>
      </c>
      <c r="T69" s="11">
        <f t="shared" si="25"/>
        <v>12</v>
      </c>
      <c r="U69" s="11">
        <f t="shared" si="26"/>
        <v>10</v>
      </c>
      <c r="V69" t="str">
        <f t="shared" si="15"/>
        <v>ME7 4DD</v>
      </c>
      <c r="W69" t="str">
        <f t="shared" si="16"/>
        <v>S2 4SU</v>
      </c>
      <c r="X69" s="12">
        <v>5598</v>
      </c>
      <c r="Y69" s="15">
        <f t="shared" si="18"/>
        <v>28</v>
      </c>
    </row>
    <row r="70" spans="1:25" x14ac:dyDescent="0.2">
      <c r="A70" t="s">
        <v>3</v>
      </c>
      <c r="B70" s="1">
        <v>42617</v>
      </c>
      <c r="C70" s="2" t="str">
        <f t="shared" si="19"/>
        <v>Sun</v>
      </c>
      <c r="D70" t="s">
        <v>12</v>
      </c>
      <c r="E70" t="s">
        <v>21</v>
      </c>
      <c r="F70" t="str">
        <f t="shared" si="20"/>
        <v>D</v>
      </c>
      <c r="G70">
        <f t="shared" si="21"/>
        <v>0</v>
      </c>
      <c r="H70" t="s">
        <v>32</v>
      </c>
      <c r="I70">
        <f t="shared" si="22"/>
        <v>0</v>
      </c>
      <c r="J70">
        <f t="shared" si="17"/>
        <v>7653</v>
      </c>
      <c r="K70" s="15">
        <f t="shared" si="23"/>
        <v>596</v>
      </c>
      <c r="L70" s="15">
        <f t="shared" si="24"/>
        <v>249</v>
      </c>
      <c r="M70">
        <v>17</v>
      </c>
      <c r="N70">
        <v>12</v>
      </c>
      <c r="O70">
        <v>7</v>
      </c>
      <c r="P70">
        <v>4</v>
      </c>
      <c r="Q70" s="9">
        <v>18</v>
      </c>
      <c r="R70">
        <v>19</v>
      </c>
      <c r="T70" s="11">
        <f t="shared" si="25"/>
        <v>24</v>
      </c>
      <c r="U70" s="11">
        <f t="shared" si="26"/>
        <v>24</v>
      </c>
      <c r="V70" t="str">
        <f t="shared" si="15"/>
        <v>NN5 5QA</v>
      </c>
      <c r="W70" t="str">
        <f t="shared" si="16"/>
        <v>MK1 1ST</v>
      </c>
      <c r="X70" s="12">
        <v>6618</v>
      </c>
      <c r="Y70" s="15">
        <f t="shared" si="18"/>
        <v>24</v>
      </c>
    </row>
    <row r="71" spans="1:25" x14ac:dyDescent="0.2">
      <c r="A71" t="s">
        <v>3</v>
      </c>
      <c r="B71" s="1">
        <v>42623</v>
      </c>
      <c r="C71" s="2" t="str">
        <f t="shared" si="19"/>
        <v>Sat</v>
      </c>
      <c r="D71" t="s">
        <v>27</v>
      </c>
      <c r="E71" t="s">
        <v>5</v>
      </c>
      <c r="F71" t="str">
        <f t="shared" si="20"/>
        <v>D</v>
      </c>
      <c r="G71">
        <f t="shared" si="21"/>
        <v>0</v>
      </c>
      <c r="H71" t="s">
        <v>32</v>
      </c>
      <c r="I71">
        <f t="shared" si="22"/>
        <v>0</v>
      </c>
      <c r="J71">
        <f t="shared" si="17"/>
        <v>4850</v>
      </c>
      <c r="K71" s="15">
        <f t="shared" si="23"/>
        <v>1622</v>
      </c>
      <c r="L71" s="15">
        <f t="shared" si="24"/>
        <v>260</v>
      </c>
      <c r="M71">
        <v>22</v>
      </c>
      <c r="N71">
        <v>18</v>
      </c>
      <c r="O71">
        <v>5</v>
      </c>
      <c r="P71">
        <v>9</v>
      </c>
      <c r="Q71" s="9">
        <v>145</v>
      </c>
      <c r="R71">
        <v>18</v>
      </c>
      <c r="S71" t="s">
        <v>68</v>
      </c>
      <c r="T71" s="11">
        <f t="shared" si="25"/>
        <v>17</v>
      </c>
      <c r="U71" s="11">
        <f t="shared" si="26"/>
        <v>17</v>
      </c>
      <c r="V71" t="str">
        <f t="shared" si="15"/>
        <v>KT1 3PB</v>
      </c>
      <c r="W71" t="str">
        <f t="shared" si="16"/>
        <v>S2 4SU</v>
      </c>
      <c r="X71" s="12">
        <v>4810</v>
      </c>
      <c r="Y71" s="15">
        <f t="shared" si="18"/>
        <v>29</v>
      </c>
    </row>
    <row r="72" spans="1:25" x14ac:dyDescent="0.2">
      <c r="A72" t="s">
        <v>3</v>
      </c>
      <c r="B72" s="1">
        <v>42623</v>
      </c>
      <c r="C72" s="2" t="str">
        <f t="shared" si="19"/>
        <v>Sat</v>
      </c>
      <c r="D72" t="s">
        <v>4</v>
      </c>
      <c r="E72" t="s">
        <v>21</v>
      </c>
      <c r="F72" t="str">
        <f t="shared" si="20"/>
        <v>D</v>
      </c>
      <c r="G72">
        <f t="shared" si="21"/>
        <v>0</v>
      </c>
      <c r="H72" t="s">
        <v>32</v>
      </c>
      <c r="I72">
        <f t="shared" si="22"/>
        <v>0</v>
      </c>
      <c r="J72">
        <f t="shared" si="17"/>
        <v>28723</v>
      </c>
      <c r="K72" s="15">
        <f t="shared" si="23"/>
        <v>596</v>
      </c>
      <c r="L72" s="15">
        <f t="shared" si="24"/>
        <v>280</v>
      </c>
      <c r="M72">
        <v>1</v>
      </c>
      <c r="N72">
        <v>15</v>
      </c>
      <c r="O72">
        <v>9</v>
      </c>
      <c r="P72">
        <v>4</v>
      </c>
      <c r="Q72" s="9">
        <v>132</v>
      </c>
      <c r="R72">
        <v>13</v>
      </c>
      <c r="S72" t="s">
        <v>69</v>
      </c>
      <c r="T72" s="11">
        <f t="shared" si="25"/>
        <v>15</v>
      </c>
      <c r="U72" s="11">
        <f t="shared" si="26"/>
        <v>15</v>
      </c>
      <c r="V72" t="str">
        <f t="shared" si="15"/>
        <v>BL6 6JW</v>
      </c>
      <c r="W72" t="str">
        <f t="shared" si="16"/>
        <v>MK1 1ST</v>
      </c>
      <c r="X72" s="12">
        <v>12727</v>
      </c>
      <c r="Y72" s="15">
        <f t="shared" si="18"/>
        <v>30</v>
      </c>
    </row>
    <row r="73" spans="1:25" x14ac:dyDescent="0.2">
      <c r="A73" t="s">
        <v>3</v>
      </c>
      <c r="B73" s="1">
        <v>42623</v>
      </c>
      <c r="C73" s="2" t="str">
        <f t="shared" si="19"/>
        <v>Sat</v>
      </c>
      <c r="D73" t="s">
        <v>19</v>
      </c>
      <c r="E73" t="s">
        <v>16</v>
      </c>
      <c r="F73" t="str">
        <f t="shared" si="20"/>
        <v>D</v>
      </c>
      <c r="G73">
        <f t="shared" si="21"/>
        <v>0</v>
      </c>
      <c r="H73" t="s">
        <v>32</v>
      </c>
      <c r="I73">
        <f t="shared" si="22"/>
        <v>0</v>
      </c>
      <c r="J73">
        <f t="shared" si="17"/>
        <v>12000</v>
      </c>
      <c r="K73" s="15">
        <f t="shared" si="23"/>
        <v>497</v>
      </c>
      <c r="L73" s="15">
        <f t="shared" si="24"/>
        <v>260</v>
      </c>
      <c r="M73">
        <v>12</v>
      </c>
      <c r="N73">
        <v>24</v>
      </c>
      <c r="O73">
        <v>5</v>
      </c>
      <c r="P73">
        <v>2</v>
      </c>
      <c r="Q73" s="9">
        <v>149</v>
      </c>
      <c r="R73">
        <v>15</v>
      </c>
      <c r="T73" s="11">
        <f t="shared" si="25"/>
        <v>18</v>
      </c>
      <c r="U73" s="11">
        <f t="shared" si="26"/>
        <v>16</v>
      </c>
      <c r="V73" t="str">
        <f t="shared" si="15"/>
        <v>BS7 0BF</v>
      </c>
      <c r="W73" t="str">
        <f t="shared" si="16"/>
        <v>OL11 5DR</v>
      </c>
      <c r="X73" s="12">
        <v>8057</v>
      </c>
      <c r="Y73" s="15">
        <f t="shared" si="18"/>
        <v>26</v>
      </c>
    </row>
    <row r="74" spans="1:25" x14ac:dyDescent="0.2">
      <c r="A74" t="s">
        <v>3</v>
      </c>
      <c r="B74" s="1">
        <v>42623</v>
      </c>
      <c r="C74" s="2" t="str">
        <f t="shared" si="19"/>
        <v>Sat</v>
      </c>
      <c r="D74" t="s">
        <v>8</v>
      </c>
      <c r="E74" t="s">
        <v>20</v>
      </c>
      <c r="F74" t="str">
        <f t="shared" si="20"/>
        <v>D</v>
      </c>
      <c r="G74">
        <f t="shared" si="21"/>
        <v>0</v>
      </c>
      <c r="H74" t="s">
        <v>32</v>
      </c>
      <c r="I74">
        <f t="shared" si="22"/>
        <v>0</v>
      </c>
      <c r="J74">
        <f t="shared" si="17"/>
        <v>11841</v>
      </c>
      <c r="K74" s="15">
        <f t="shared" si="23"/>
        <v>438</v>
      </c>
      <c r="L74" s="15">
        <f t="shared" si="24"/>
        <v>275</v>
      </c>
      <c r="M74">
        <v>10</v>
      </c>
      <c r="N74">
        <v>17</v>
      </c>
      <c r="O74">
        <v>8</v>
      </c>
      <c r="P74">
        <v>6</v>
      </c>
      <c r="Q74" s="9">
        <v>65</v>
      </c>
      <c r="R74">
        <v>13</v>
      </c>
      <c r="S74" t="s">
        <v>69</v>
      </c>
      <c r="T74" s="11">
        <f t="shared" si="25"/>
        <v>18</v>
      </c>
      <c r="U74" s="11">
        <f t="shared" si="26"/>
        <v>18</v>
      </c>
      <c r="V74" t="str">
        <f t="shared" si="15"/>
        <v>BL9 9HR</v>
      </c>
      <c r="W74" t="str">
        <f t="shared" si="16"/>
        <v>SY2 6ST</v>
      </c>
      <c r="X74" s="12">
        <v>2990</v>
      </c>
      <c r="Y74" s="15">
        <f t="shared" si="18"/>
        <v>22</v>
      </c>
    </row>
    <row r="75" spans="1:25" x14ac:dyDescent="0.2">
      <c r="A75" t="s">
        <v>3</v>
      </c>
      <c r="B75" s="1">
        <v>42623</v>
      </c>
      <c r="C75" s="2" t="str">
        <f t="shared" si="19"/>
        <v>Sat</v>
      </c>
      <c r="D75" t="s">
        <v>13</v>
      </c>
      <c r="E75" t="s">
        <v>9</v>
      </c>
      <c r="F75" t="str">
        <f t="shared" si="20"/>
        <v>D</v>
      </c>
      <c r="G75">
        <f t="shared" si="21"/>
        <v>0</v>
      </c>
      <c r="H75" t="s">
        <v>32</v>
      </c>
      <c r="I75">
        <f t="shared" si="22"/>
        <v>0</v>
      </c>
      <c r="J75">
        <f t="shared" si="17"/>
        <v>5327</v>
      </c>
      <c r="K75" s="15">
        <f t="shared" si="23"/>
        <v>680</v>
      </c>
      <c r="L75" s="15">
        <f t="shared" si="24"/>
        <v>210</v>
      </c>
      <c r="M75">
        <v>4</v>
      </c>
      <c r="N75">
        <v>9</v>
      </c>
      <c r="O75">
        <v>10</v>
      </c>
      <c r="P75">
        <v>9</v>
      </c>
      <c r="Q75" s="9">
        <v>211</v>
      </c>
      <c r="R75">
        <v>15</v>
      </c>
      <c r="T75" s="11">
        <f t="shared" si="25"/>
        <v>21.5</v>
      </c>
      <c r="U75" s="11">
        <f t="shared" si="26"/>
        <v>21.5</v>
      </c>
      <c r="V75" t="str">
        <f t="shared" si="15"/>
        <v>FY7 6TX</v>
      </c>
      <c r="W75" t="str">
        <f t="shared" si="16"/>
        <v>SE7 8BL</v>
      </c>
      <c r="X75" s="12">
        <v>3371</v>
      </c>
      <c r="Y75" s="15">
        <f t="shared" si="18"/>
        <v>23.5</v>
      </c>
    </row>
    <row r="76" spans="1:25" x14ac:dyDescent="0.2">
      <c r="A76" t="s">
        <v>3</v>
      </c>
      <c r="B76" s="1">
        <v>42623</v>
      </c>
      <c r="C76" s="2" t="str">
        <f t="shared" si="19"/>
        <v>Sat</v>
      </c>
      <c r="D76" t="s">
        <v>23</v>
      </c>
      <c r="E76" t="s">
        <v>6</v>
      </c>
      <c r="F76" t="str">
        <f t="shared" si="20"/>
        <v>D</v>
      </c>
      <c r="G76">
        <f t="shared" si="21"/>
        <v>0</v>
      </c>
      <c r="H76" t="s">
        <v>32</v>
      </c>
      <c r="I76">
        <f t="shared" si="22"/>
        <v>0</v>
      </c>
      <c r="J76">
        <f t="shared" si="17"/>
        <v>11582</v>
      </c>
      <c r="K76" s="15">
        <f t="shared" si="23"/>
        <v>1437</v>
      </c>
      <c r="L76" s="15">
        <f t="shared" si="24"/>
        <v>285</v>
      </c>
      <c r="M76">
        <v>8</v>
      </c>
      <c r="N76">
        <v>2</v>
      </c>
      <c r="O76">
        <v>5</v>
      </c>
      <c r="P76">
        <v>9</v>
      </c>
      <c r="Q76" s="9">
        <v>194</v>
      </c>
      <c r="R76">
        <v>17</v>
      </c>
      <c r="T76" s="11">
        <f t="shared" si="25"/>
        <v>12</v>
      </c>
      <c r="U76" s="11">
        <f t="shared" si="26"/>
        <v>10</v>
      </c>
      <c r="V76" t="str">
        <f t="shared" si="15"/>
        <v>ME7 4DD</v>
      </c>
      <c r="W76" t="str">
        <f t="shared" si="16"/>
        <v>BD8 7DY</v>
      </c>
      <c r="X76" s="12">
        <v>5079</v>
      </c>
      <c r="Y76" s="15">
        <f t="shared" si="18"/>
        <v>28</v>
      </c>
    </row>
    <row r="77" spans="1:25" x14ac:dyDescent="0.2">
      <c r="A77" t="s">
        <v>3</v>
      </c>
      <c r="B77" s="1">
        <v>42623</v>
      </c>
      <c r="C77" s="2" t="str">
        <f t="shared" si="19"/>
        <v>Sat</v>
      </c>
      <c r="D77" t="s">
        <v>10</v>
      </c>
      <c r="E77" t="s">
        <v>25</v>
      </c>
      <c r="F77" t="str">
        <f t="shared" si="20"/>
        <v>D</v>
      </c>
      <c r="G77">
        <f t="shared" si="21"/>
        <v>0</v>
      </c>
      <c r="H77" t="s">
        <v>32</v>
      </c>
      <c r="I77">
        <f t="shared" si="22"/>
        <v>0</v>
      </c>
      <c r="J77">
        <f t="shared" si="17"/>
        <v>20146</v>
      </c>
      <c r="K77" s="15">
        <f t="shared" si="23"/>
        <v>1280</v>
      </c>
      <c r="L77" s="15">
        <f t="shared" si="24"/>
        <v>333</v>
      </c>
      <c r="M77">
        <v>5</v>
      </c>
      <c r="N77">
        <v>23</v>
      </c>
      <c r="O77">
        <v>8</v>
      </c>
      <c r="P77">
        <v>3</v>
      </c>
      <c r="Q77" s="9">
        <v>91</v>
      </c>
      <c r="R77">
        <v>19</v>
      </c>
      <c r="S77" t="s">
        <v>68</v>
      </c>
      <c r="T77" s="11">
        <f t="shared" si="25"/>
        <v>22</v>
      </c>
      <c r="U77" s="11">
        <f t="shared" si="26"/>
        <v>23</v>
      </c>
      <c r="V77" t="str">
        <f t="shared" si="15"/>
        <v>SE16 3LN</v>
      </c>
      <c r="W77" t="str">
        <f t="shared" si="16"/>
        <v>CV6 6GE</v>
      </c>
      <c r="X77" s="12">
        <v>8755</v>
      </c>
      <c r="Y77" s="15">
        <f t="shared" si="18"/>
        <v>30</v>
      </c>
    </row>
    <row r="78" spans="1:25" x14ac:dyDescent="0.2">
      <c r="A78" t="s">
        <v>3</v>
      </c>
      <c r="B78" s="1">
        <v>42623</v>
      </c>
      <c r="C78" s="2" t="str">
        <f t="shared" si="19"/>
        <v>Sat</v>
      </c>
      <c r="D78" t="s">
        <v>12</v>
      </c>
      <c r="E78" t="s">
        <v>26</v>
      </c>
      <c r="F78" t="str">
        <f t="shared" si="20"/>
        <v>D</v>
      </c>
      <c r="G78">
        <f t="shared" si="21"/>
        <v>0</v>
      </c>
      <c r="H78" t="s">
        <v>32</v>
      </c>
      <c r="I78">
        <f t="shared" si="22"/>
        <v>0</v>
      </c>
      <c r="J78">
        <f t="shared" si="17"/>
        <v>7653</v>
      </c>
      <c r="K78" s="15">
        <f t="shared" si="23"/>
        <v>792</v>
      </c>
      <c r="L78" s="15">
        <f t="shared" si="24"/>
        <v>249</v>
      </c>
      <c r="M78">
        <v>11</v>
      </c>
      <c r="N78">
        <v>19</v>
      </c>
      <c r="O78">
        <v>9</v>
      </c>
      <c r="P78">
        <v>2</v>
      </c>
      <c r="Q78" s="9">
        <v>50</v>
      </c>
      <c r="R78">
        <v>19</v>
      </c>
      <c r="T78" s="11">
        <f t="shared" si="25"/>
        <v>24</v>
      </c>
      <c r="U78" s="11">
        <f t="shared" si="26"/>
        <v>24</v>
      </c>
      <c r="V78" t="str">
        <f t="shared" si="15"/>
        <v>NN5 5QA</v>
      </c>
      <c r="W78" t="str">
        <f t="shared" si="16"/>
        <v>WS1 4SA</v>
      </c>
      <c r="X78" s="12">
        <v>5538</v>
      </c>
      <c r="Y78" s="15">
        <f t="shared" si="18"/>
        <v>24</v>
      </c>
    </row>
    <row r="79" spans="1:25" x14ac:dyDescent="0.2">
      <c r="A79" t="s">
        <v>3</v>
      </c>
      <c r="B79" s="1">
        <v>42623</v>
      </c>
      <c r="C79" s="2" t="str">
        <f t="shared" si="19"/>
        <v>Sat</v>
      </c>
      <c r="D79" t="s">
        <v>11</v>
      </c>
      <c r="E79" t="s">
        <v>15</v>
      </c>
      <c r="F79" t="str">
        <f t="shared" si="20"/>
        <v>D</v>
      </c>
      <c r="G79">
        <f t="shared" si="21"/>
        <v>0</v>
      </c>
      <c r="H79" t="s">
        <v>32</v>
      </c>
      <c r="I79">
        <f t="shared" si="22"/>
        <v>0</v>
      </c>
      <c r="J79">
        <f t="shared" si="17"/>
        <v>13559</v>
      </c>
      <c r="K79" s="15">
        <f t="shared" si="23"/>
        <v>583</v>
      </c>
      <c r="L79" s="15">
        <f t="shared" si="24"/>
        <v>300</v>
      </c>
      <c r="M79">
        <v>20</v>
      </c>
      <c r="N79">
        <v>14</v>
      </c>
      <c r="O79">
        <v>6</v>
      </c>
      <c r="P79">
        <v>4</v>
      </c>
      <c r="Q79" s="9">
        <v>36</v>
      </c>
      <c r="R79">
        <v>17</v>
      </c>
      <c r="T79" s="11">
        <f t="shared" si="25"/>
        <v>22</v>
      </c>
      <c r="U79" s="11">
        <f t="shared" si="26"/>
        <v>24</v>
      </c>
      <c r="V79" t="str">
        <f t="shared" ref="V79:V142" si="27">IF(D79="Bolton","BL6 6JW",IF(D79="Bradford","BD8 7DY",IF(D79="Bury","BL9 9HR",IF(D79="Millwall","SE16 3LN",IF(D79="Northampton","NN5 5QA",IF(D79="Oxford","OX4 4XP",IF(D79="Rochdale","OL11 5DR",IF(D79="Scunthorpe","DN15 8TD",IF(D79="Shrewsbury","SY2 6ST",IF(D79="Southend","SS2 6NQ",IF(D79="Swindon","SN1 2ED",IF(D79="Walsall","WS1 4SA",IF(D79="Sheffield United","S2 4SU",IF(D79="Port Vale","ST6 1AW",IF(D79="Charlton","SE7 8BL",IF(D79="Oldham","OL1 2PA",IF(D79="Fleetwood Town","FY7 6TX",IF(D79="Chesterfield","S41 8NZ",IF(D79="Peterboro","PE2 8AL",IF(D79="Bristol Rvs","BS7 0BF",IF(D79="Milton Keynes Dons","MK1 1ST",IF(D79="Gillingham","ME7 4DD",IF(D79="Coventry","CV6 6GE",IF(D79="AFC Wimbledon","KT1 3PB"))))))))))))))))))))))))</f>
        <v>OL1 2PA</v>
      </c>
      <c r="W79" t="str">
        <f t="shared" ref="W79:W142" si="28">IF(E79="Bolton","BL6 6JW",IF(E79="Bradford","BD8 7DY",IF(E79="Bury","BL9 9HR",IF(E79="Millwall","SE16 3LN",IF(E79="Northampton","NN5 5QA",IF(E79="Oxford","OX4 4XP",IF(E79="Rochdale","OL11 5DR",IF(E79="Scunthorpe","DN15 8TD",IF(E79="Shrewsbury","SY2 6ST",IF(E79="Southend","SS2 6NQ",IF(E79="Swindon","SN1 2ED",IF(E79="Walsall","WS1 4SA",IF(E79="Sheffield United","S2 4SU",IF(E79="Port Vale","ST6 1AW",IF(E79="Charlton","SE7 8BL",IF(E79="Oldham","OL1 2PA",IF(E79="Fleetwood Town","FY7 6TX",IF(E79="Chesterfield","S41 8NZ",IF(E79="Peterboro","PE2 8AL",IF(E79="Bristol Rvs","BS7 0BF",IF(E79="Milton Keynes Dons","MK1 1ST",IF(E79="Gillingham","ME7 4DD",IF(E79="Coventry","CV6 6GE",IF(E79="AFC Wimbledon","KT1 3PB"))))))))))))))))))))))))</f>
        <v>S41 8NZ</v>
      </c>
      <c r="X79" s="12">
        <v>3457</v>
      </c>
      <c r="Y79" s="15">
        <f t="shared" si="18"/>
        <v>24</v>
      </c>
    </row>
    <row r="80" spans="1:25" x14ac:dyDescent="0.2">
      <c r="A80" t="s">
        <v>3</v>
      </c>
      <c r="B80" s="1">
        <v>42623</v>
      </c>
      <c r="C80" s="2" t="str">
        <f t="shared" si="19"/>
        <v>Sat</v>
      </c>
      <c r="D80" t="s">
        <v>14</v>
      </c>
      <c r="E80" t="s">
        <v>24</v>
      </c>
      <c r="F80" t="str">
        <f t="shared" si="20"/>
        <v>D</v>
      </c>
      <c r="G80">
        <f t="shared" si="21"/>
        <v>0</v>
      </c>
      <c r="H80" t="s">
        <v>32</v>
      </c>
      <c r="I80">
        <f t="shared" si="22"/>
        <v>0</v>
      </c>
      <c r="J80">
        <f t="shared" si="17"/>
        <v>12500</v>
      </c>
      <c r="K80" s="15">
        <f t="shared" si="23"/>
        <v>503</v>
      </c>
      <c r="L80" s="15">
        <f t="shared" si="24"/>
        <v>290</v>
      </c>
      <c r="M80">
        <v>16</v>
      </c>
      <c r="N80">
        <v>13</v>
      </c>
      <c r="O80">
        <v>9</v>
      </c>
      <c r="P80">
        <v>5</v>
      </c>
      <c r="Q80" s="9">
        <v>26</v>
      </c>
      <c r="R80">
        <v>16</v>
      </c>
      <c r="T80" s="11">
        <f t="shared" si="25"/>
        <v>20</v>
      </c>
      <c r="U80" s="11">
        <f t="shared" si="26"/>
        <v>21</v>
      </c>
      <c r="V80" t="str">
        <f t="shared" si="27"/>
        <v>OX4 4XP</v>
      </c>
      <c r="W80" t="str">
        <f t="shared" si="28"/>
        <v>SN1 2ED</v>
      </c>
      <c r="X80" s="12">
        <v>11042</v>
      </c>
      <c r="Y80" s="15">
        <f t="shared" si="18"/>
        <v>24</v>
      </c>
    </row>
    <row r="81" spans="1:25" x14ac:dyDescent="0.2">
      <c r="A81" t="s">
        <v>3</v>
      </c>
      <c r="B81" s="1">
        <v>42623</v>
      </c>
      <c r="C81" s="2" t="str">
        <f t="shared" si="19"/>
        <v>Sat</v>
      </c>
      <c r="D81" t="s">
        <v>17</v>
      </c>
      <c r="E81" t="s">
        <v>7</v>
      </c>
      <c r="F81" t="str">
        <f t="shared" si="20"/>
        <v>D</v>
      </c>
      <c r="G81">
        <f t="shared" si="21"/>
        <v>0</v>
      </c>
      <c r="H81" t="s">
        <v>32</v>
      </c>
      <c r="I81">
        <f t="shared" si="22"/>
        <v>0</v>
      </c>
      <c r="J81">
        <f t="shared" si="17"/>
        <v>15314</v>
      </c>
      <c r="K81" s="15">
        <f t="shared" si="23"/>
        <v>697</v>
      </c>
      <c r="L81" s="15">
        <f t="shared" si="24"/>
        <v>295</v>
      </c>
      <c r="M81">
        <v>6</v>
      </c>
      <c r="N81">
        <v>7</v>
      </c>
      <c r="O81">
        <v>8</v>
      </c>
      <c r="P81">
        <v>7</v>
      </c>
      <c r="Q81" s="9">
        <v>88</v>
      </c>
      <c r="R81">
        <v>14</v>
      </c>
      <c r="T81" s="11">
        <f t="shared" si="25"/>
        <v>21</v>
      </c>
      <c r="U81" s="11">
        <f t="shared" si="26"/>
        <v>20</v>
      </c>
      <c r="V81" t="str">
        <f t="shared" si="27"/>
        <v>PE2 8AL</v>
      </c>
      <c r="W81" t="str">
        <f t="shared" si="28"/>
        <v>ST6 1AW</v>
      </c>
      <c r="X81" s="12">
        <v>4711</v>
      </c>
      <c r="Y81" s="15">
        <f t="shared" si="18"/>
        <v>26</v>
      </c>
    </row>
    <row r="82" spans="1:25" x14ac:dyDescent="0.2">
      <c r="A82" t="s">
        <v>3</v>
      </c>
      <c r="B82" s="1">
        <v>42623</v>
      </c>
      <c r="C82" s="2" t="str">
        <f t="shared" si="19"/>
        <v>Sat</v>
      </c>
      <c r="D82" t="s">
        <v>18</v>
      </c>
      <c r="E82" t="s">
        <v>22</v>
      </c>
      <c r="F82" t="str">
        <f t="shared" si="20"/>
        <v>D</v>
      </c>
      <c r="G82">
        <f t="shared" si="21"/>
        <v>0</v>
      </c>
      <c r="H82" t="s">
        <v>32</v>
      </c>
      <c r="I82">
        <f t="shared" si="22"/>
        <v>0</v>
      </c>
      <c r="J82">
        <f t="shared" si="17"/>
        <v>9183</v>
      </c>
      <c r="K82" s="15">
        <f t="shared" si="23"/>
        <v>635</v>
      </c>
      <c r="L82" s="15">
        <f t="shared" si="24"/>
        <v>288</v>
      </c>
      <c r="M82">
        <v>3</v>
      </c>
      <c r="N82">
        <v>21</v>
      </c>
      <c r="O82">
        <v>10</v>
      </c>
      <c r="P82">
        <v>5</v>
      </c>
      <c r="Q82" s="9">
        <v>153</v>
      </c>
      <c r="R82">
        <v>16</v>
      </c>
      <c r="S82" t="s">
        <v>68</v>
      </c>
      <c r="T82" s="11">
        <f t="shared" si="25"/>
        <v>18</v>
      </c>
      <c r="U82" s="11">
        <f t="shared" si="26"/>
        <v>22</v>
      </c>
      <c r="V82" t="str">
        <f t="shared" si="27"/>
        <v>DN15 8TD</v>
      </c>
      <c r="W82" t="str">
        <f t="shared" si="28"/>
        <v>SS2 6NQ</v>
      </c>
      <c r="X82" s="12">
        <v>3723</v>
      </c>
      <c r="Y82" s="15">
        <f t="shared" si="18"/>
        <v>23</v>
      </c>
    </row>
    <row r="83" spans="1:25" x14ac:dyDescent="0.2">
      <c r="A83" t="s">
        <v>3</v>
      </c>
      <c r="B83" s="1">
        <v>42626</v>
      </c>
      <c r="C83" s="2" t="str">
        <f t="shared" si="19"/>
        <v>Tue</v>
      </c>
      <c r="D83" t="s">
        <v>19</v>
      </c>
      <c r="E83" t="s">
        <v>26</v>
      </c>
      <c r="F83" t="str">
        <f t="shared" si="20"/>
        <v>E</v>
      </c>
      <c r="G83">
        <f t="shared" si="21"/>
        <v>1</v>
      </c>
      <c r="H83" t="s">
        <v>32</v>
      </c>
      <c r="I83">
        <f t="shared" si="22"/>
        <v>0</v>
      </c>
      <c r="J83">
        <f t="shared" si="17"/>
        <v>12000</v>
      </c>
      <c r="K83" s="15">
        <f t="shared" si="23"/>
        <v>792</v>
      </c>
      <c r="L83" s="15">
        <f t="shared" si="24"/>
        <v>260</v>
      </c>
      <c r="M83">
        <v>14</v>
      </c>
      <c r="N83">
        <v>20</v>
      </c>
      <c r="O83">
        <v>6</v>
      </c>
      <c r="P83">
        <v>2</v>
      </c>
      <c r="Q83" s="9">
        <v>79</v>
      </c>
      <c r="R83">
        <v>19</v>
      </c>
      <c r="T83" s="11">
        <f t="shared" si="25"/>
        <v>18</v>
      </c>
      <c r="U83" s="11">
        <f t="shared" si="26"/>
        <v>16</v>
      </c>
      <c r="V83" t="str">
        <f t="shared" si="27"/>
        <v>BS7 0BF</v>
      </c>
      <c r="W83" t="str">
        <f t="shared" si="28"/>
        <v>WS1 4SA</v>
      </c>
      <c r="X83" s="12">
        <v>7805</v>
      </c>
      <c r="Y83" s="15">
        <f t="shared" si="18"/>
        <v>26</v>
      </c>
    </row>
    <row r="84" spans="1:25" x14ac:dyDescent="0.2">
      <c r="A84" t="s">
        <v>3</v>
      </c>
      <c r="B84" s="1">
        <v>42630</v>
      </c>
      <c r="C84" s="2" t="str">
        <f t="shared" si="19"/>
        <v>Sat</v>
      </c>
      <c r="D84" t="s">
        <v>6</v>
      </c>
      <c r="E84" t="s">
        <v>19</v>
      </c>
      <c r="F84" t="str">
        <f t="shared" si="20"/>
        <v>D</v>
      </c>
      <c r="G84">
        <f t="shared" si="21"/>
        <v>0</v>
      </c>
      <c r="H84" t="s">
        <v>32</v>
      </c>
      <c r="I84">
        <f t="shared" si="22"/>
        <v>0</v>
      </c>
      <c r="J84">
        <f t="shared" si="17"/>
        <v>25136</v>
      </c>
      <c r="K84" s="15">
        <f t="shared" si="23"/>
        <v>1159</v>
      </c>
      <c r="L84" s="15">
        <f t="shared" si="24"/>
        <v>149</v>
      </c>
      <c r="M84">
        <v>3</v>
      </c>
      <c r="N84">
        <v>14</v>
      </c>
      <c r="O84">
        <v>7</v>
      </c>
      <c r="P84">
        <v>4</v>
      </c>
      <c r="Q84" s="9">
        <v>164</v>
      </c>
      <c r="R84">
        <v>12</v>
      </c>
      <c r="T84" s="11">
        <f t="shared" si="25"/>
        <v>25</v>
      </c>
      <c r="U84" s="11">
        <f t="shared" si="26"/>
        <v>20</v>
      </c>
      <c r="V84" t="str">
        <f t="shared" si="27"/>
        <v>BD8 7DY</v>
      </c>
      <c r="W84" t="str">
        <f t="shared" si="28"/>
        <v>BS7 0BF</v>
      </c>
      <c r="X84" s="12">
        <v>17489</v>
      </c>
      <c r="Y84" s="15">
        <f t="shared" si="18"/>
        <v>25</v>
      </c>
    </row>
    <row r="85" spans="1:25" x14ac:dyDescent="0.2">
      <c r="A85" t="s">
        <v>3</v>
      </c>
      <c r="B85" s="1">
        <v>42630</v>
      </c>
      <c r="C85" s="2" t="str">
        <f t="shared" si="19"/>
        <v>Sat</v>
      </c>
      <c r="D85" t="s">
        <v>9</v>
      </c>
      <c r="E85" t="s">
        <v>27</v>
      </c>
      <c r="F85" t="str">
        <f t="shared" si="20"/>
        <v>D</v>
      </c>
      <c r="G85">
        <f t="shared" si="21"/>
        <v>0</v>
      </c>
      <c r="H85" t="s">
        <v>32</v>
      </c>
      <c r="I85">
        <f t="shared" si="22"/>
        <v>0</v>
      </c>
      <c r="J85">
        <f t="shared" si="17"/>
        <v>26875</v>
      </c>
      <c r="K85" s="15">
        <f t="shared" si="23"/>
        <v>622</v>
      </c>
      <c r="L85" s="15">
        <f t="shared" si="24"/>
        <v>175</v>
      </c>
      <c r="M85">
        <v>11</v>
      </c>
      <c r="N85">
        <v>21</v>
      </c>
      <c r="O85">
        <v>8</v>
      </c>
      <c r="P85">
        <v>8</v>
      </c>
      <c r="Q85" s="9">
        <v>15</v>
      </c>
      <c r="R85">
        <v>14</v>
      </c>
      <c r="T85" s="11">
        <f t="shared" si="25"/>
        <v>20</v>
      </c>
      <c r="U85" s="11">
        <f t="shared" si="26"/>
        <v>20</v>
      </c>
      <c r="V85" t="str">
        <f t="shared" si="27"/>
        <v>SE7 8BL</v>
      </c>
      <c r="W85" t="str">
        <f t="shared" si="28"/>
        <v>KT1 3PB</v>
      </c>
      <c r="X85" s="12">
        <v>11927</v>
      </c>
      <c r="Y85" s="15">
        <f t="shared" si="18"/>
        <v>35</v>
      </c>
    </row>
    <row r="86" spans="1:25" x14ac:dyDescent="0.2">
      <c r="A86" t="s">
        <v>3</v>
      </c>
      <c r="B86" s="1">
        <v>42630</v>
      </c>
      <c r="C86" s="2" t="str">
        <f t="shared" si="19"/>
        <v>Sat</v>
      </c>
      <c r="D86" t="s">
        <v>15</v>
      </c>
      <c r="E86" t="s">
        <v>12</v>
      </c>
      <c r="F86" t="str">
        <f t="shared" si="20"/>
        <v>D</v>
      </c>
      <c r="G86">
        <f t="shared" si="21"/>
        <v>0</v>
      </c>
      <c r="H86" t="s">
        <v>32</v>
      </c>
      <c r="I86">
        <f t="shared" si="22"/>
        <v>0</v>
      </c>
      <c r="J86">
        <f t="shared" si="17"/>
        <v>10504</v>
      </c>
      <c r="K86" s="15">
        <f t="shared" si="23"/>
        <v>843</v>
      </c>
      <c r="L86" s="15">
        <f t="shared" si="24"/>
        <v>345</v>
      </c>
      <c r="M86">
        <v>15</v>
      </c>
      <c r="N86">
        <v>8</v>
      </c>
      <c r="O86">
        <v>4</v>
      </c>
      <c r="P86">
        <v>8</v>
      </c>
      <c r="Q86" s="9">
        <v>73</v>
      </c>
      <c r="R86">
        <v>15</v>
      </c>
      <c r="T86" s="11">
        <f t="shared" si="25"/>
        <v>22</v>
      </c>
      <c r="U86" s="11">
        <f t="shared" si="26"/>
        <v>20</v>
      </c>
      <c r="V86" t="str">
        <f t="shared" si="27"/>
        <v>S41 8NZ</v>
      </c>
      <c r="W86" t="str">
        <f t="shared" si="28"/>
        <v>NN5 5QA</v>
      </c>
      <c r="X86" s="12">
        <v>5910</v>
      </c>
      <c r="Y86" s="15">
        <f t="shared" si="18"/>
        <v>26</v>
      </c>
    </row>
    <row r="87" spans="1:25" x14ac:dyDescent="0.2">
      <c r="A87" t="s">
        <v>3</v>
      </c>
      <c r="B87" s="1">
        <v>42630</v>
      </c>
      <c r="C87" s="2" t="str">
        <f t="shared" si="19"/>
        <v>Sat</v>
      </c>
      <c r="D87" t="s">
        <v>25</v>
      </c>
      <c r="E87" t="s">
        <v>11</v>
      </c>
      <c r="F87" t="str">
        <f t="shared" si="20"/>
        <v>D</v>
      </c>
      <c r="G87">
        <f t="shared" si="21"/>
        <v>0</v>
      </c>
      <c r="H87" t="s">
        <v>32</v>
      </c>
      <c r="I87">
        <f t="shared" si="22"/>
        <v>0</v>
      </c>
      <c r="J87">
        <f t="shared" si="17"/>
        <v>32609</v>
      </c>
      <c r="K87" s="15">
        <f t="shared" si="23"/>
        <v>729</v>
      </c>
      <c r="L87" s="15">
        <f t="shared" si="24"/>
        <v>299</v>
      </c>
      <c r="M87">
        <v>23</v>
      </c>
      <c r="N87">
        <v>18</v>
      </c>
      <c r="O87">
        <v>3</v>
      </c>
      <c r="P87">
        <v>6</v>
      </c>
      <c r="Q87" s="9">
        <v>81</v>
      </c>
      <c r="R87">
        <v>16</v>
      </c>
      <c r="T87" s="11">
        <f t="shared" si="25"/>
        <v>22</v>
      </c>
      <c r="U87" s="11">
        <f t="shared" si="26"/>
        <v>22</v>
      </c>
      <c r="V87" t="str">
        <f t="shared" si="27"/>
        <v>CV6 6GE</v>
      </c>
      <c r="W87" t="str">
        <f t="shared" si="28"/>
        <v>OL1 2PA</v>
      </c>
      <c r="X87" s="12">
        <v>8813</v>
      </c>
      <c r="Y87" s="15">
        <f t="shared" si="18"/>
        <v>26</v>
      </c>
    </row>
    <row r="88" spans="1:25" x14ac:dyDescent="0.2">
      <c r="A88" t="s">
        <v>3</v>
      </c>
      <c r="B88" s="1">
        <v>42630</v>
      </c>
      <c r="C88" s="2" t="str">
        <f t="shared" si="19"/>
        <v>Sat</v>
      </c>
      <c r="D88" t="s">
        <v>21</v>
      </c>
      <c r="E88" t="s">
        <v>14</v>
      </c>
      <c r="F88" t="str">
        <f t="shared" si="20"/>
        <v>D</v>
      </c>
      <c r="G88">
        <f t="shared" si="21"/>
        <v>0</v>
      </c>
      <c r="H88" t="s">
        <v>32</v>
      </c>
      <c r="I88">
        <f t="shared" si="22"/>
        <v>0</v>
      </c>
      <c r="J88">
        <f t="shared" si="17"/>
        <v>30500</v>
      </c>
      <c r="K88" s="15">
        <f t="shared" si="23"/>
        <v>1000</v>
      </c>
      <c r="L88" s="15">
        <f t="shared" si="24"/>
        <v>312</v>
      </c>
      <c r="M88">
        <v>21</v>
      </c>
      <c r="N88">
        <v>12</v>
      </c>
      <c r="O88">
        <v>5</v>
      </c>
      <c r="P88">
        <v>10</v>
      </c>
      <c r="Q88" s="9">
        <v>29</v>
      </c>
      <c r="R88">
        <v>13</v>
      </c>
      <c r="T88" s="11">
        <f t="shared" si="25"/>
        <v>22</v>
      </c>
      <c r="U88" s="11">
        <f t="shared" si="26"/>
        <v>22</v>
      </c>
      <c r="V88" t="str">
        <f t="shared" si="27"/>
        <v>MK1 1ST</v>
      </c>
      <c r="W88" t="str">
        <f t="shared" si="28"/>
        <v>OX4 4XP</v>
      </c>
      <c r="X88" s="12">
        <v>12340</v>
      </c>
      <c r="Y88" s="15">
        <f t="shared" si="18"/>
        <v>27</v>
      </c>
    </row>
    <row r="89" spans="1:25" x14ac:dyDescent="0.2">
      <c r="A89" t="s">
        <v>3</v>
      </c>
      <c r="B89" s="1">
        <v>42630</v>
      </c>
      <c r="C89" s="2" t="str">
        <f t="shared" si="19"/>
        <v>Sat</v>
      </c>
      <c r="D89" t="s">
        <v>7</v>
      </c>
      <c r="E89" t="s">
        <v>23</v>
      </c>
      <c r="F89" t="str">
        <f t="shared" si="20"/>
        <v>D</v>
      </c>
      <c r="G89">
        <f t="shared" si="21"/>
        <v>0</v>
      </c>
      <c r="H89" t="s">
        <v>32</v>
      </c>
      <c r="I89">
        <f t="shared" si="22"/>
        <v>0</v>
      </c>
      <c r="J89">
        <f t="shared" si="17"/>
        <v>18947</v>
      </c>
      <c r="K89" s="15">
        <f t="shared" si="23"/>
        <v>533</v>
      </c>
      <c r="L89" s="15">
        <f t="shared" si="24"/>
        <v>345</v>
      </c>
      <c r="M89">
        <v>9</v>
      </c>
      <c r="N89">
        <v>10</v>
      </c>
      <c r="O89">
        <v>7</v>
      </c>
      <c r="P89">
        <v>4</v>
      </c>
      <c r="Q89" s="9">
        <v>164</v>
      </c>
      <c r="R89">
        <v>18</v>
      </c>
      <c r="T89" s="11">
        <f t="shared" si="25"/>
        <v>22</v>
      </c>
      <c r="U89" s="11">
        <f t="shared" si="26"/>
        <v>22</v>
      </c>
      <c r="V89" t="str">
        <f t="shared" si="27"/>
        <v>ST6 1AW</v>
      </c>
      <c r="W89" t="str">
        <f t="shared" si="28"/>
        <v>ME7 4DD</v>
      </c>
      <c r="X89" s="12">
        <v>4719</v>
      </c>
      <c r="Y89" s="15">
        <f t="shared" si="18"/>
        <v>23</v>
      </c>
    </row>
    <row r="90" spans="1:25" x14ac:dyDescent="0.2">
      <c r="A90" t="s">
        <v>3</v>
      </c>
      <c r="B90" s="1">
        <v>42630</v>
      </c>
      <c r="C90" s="2" t="str">
        <f t="shared" si="19"/>
        <v>Sat</v>
      </c>
      <c r="D90" t="s">
        <v>16</v>
      </c>
      <c r="E90" t="s">
        <v>13</v>
      </c>
      <c r="F90" t="str">
        <f t="shared" si="20"/>
        <v>D</v>
      </c>
      <c r="G90">
        <f t="shared" si="21"/>
        <v>0</v>
      </c>
      <c r="H90" t="s">
        <v>32</v>
      </c>
      <c r="I90">
        <f t="shared" si="22"/>
        <v>0</v>
      </c>
      <c r="J90">
        <f t="shared" ref="J90:J153" si="29">IF(D90="AFC Wimbledon",4850,IF(D90="Bolton",28723,IF(D90="Bradford",25136,IF(D90="Bury",11841,IF(D90="Millwall",20146,IF(D90="Northampton",7653,IF(D90="Oxford",12500,IF(D90="Rochdale",10249,IF(D90="Scunthorpe",9183,IF(D90="Shrewsbury",9875,IF(D90="Southend",12392,IF(D90="Swindon",15728,IF(D90="Walsall",11300,IF(D90="Charlton",26875,IF(D90="Chesterfield",10504,IF(D90="Coventry",32609,IF(D90="Fleetwood Town",5327,IF(D90="Gillingham",11582,IF(D90="Milton Keynes Dons",30500,IF(D90="Oldham",13559,IF(D90="Peterboro",15314,IF(D90="Port Vale",18947,IF(D90="Sheffield United",32702,IF(D90="Bristol Rvs",12000))))))))))))))))))))))))</f>
        <v>10249</v>
      </c>
      <c r="K90" s="15">
        <f t="shared" si="23"/>
        <v>210</v>
      </c>
      <c r="L90" s="15">
        <f t="shared" si="24"/>
        <v>290</v>
      </c>
      <c r="M90">
        <v>24</v>
      </c>
      <c r="N90">
        <v>4</v>
      </c>
      <c r="O90">
        <v>5</v>
      </c>
      <c r="P90">
        <v>7</v>
      </c>
      <c r="Q90" s="9">
        <v>40</v>
      </c>
      <c r="R90">
        <v>14</v>
      </c>
      <c r="T90" s="11">
        <f t="shared" si="25"/>
        <v>17</v>
      </c>
      <c r="U90" s="11">
        <f t="shared" si="26"/>
        <v>22</v>
      </c>
      <c r="V90" t="str">
        <f t="shared" si="27"/>
        <v>OL11 5DR</v>
      </c>
      <c r="W90" t="str">
        <f t="shared" si="28"/>
        <v>FY7 6TX</v>
      </c>
      <c r="X90" s="12">
        <v>2499</v>
      </c>
      <c r="Y90" s="15">
        <f t="shared" si="18"/>
        <v>22</v>
      </c>
    </row>
    <row r="91" spans="1:25" x14ac:dyDescent="0.2">
      <c r="A91" t="s">
        <v>3</v>
      </c>
      <c r="B91" s="1">
        <v>42630</v>
      </c>
      <c r="C91" s="2" t="str">
        <f t="shared" si="19"/>
        <v>Sat</v>
      </c>
      <c r="D91" t="s">
        <v>5</v>
      </c>
      <c r="E91" t="s">
        <v>17</v>
      </c>
      <c r="F91" t="str">
        <f t="shared" si="20"/>
        <v>D</v>
      </c>
      <c r="G91">
        <f t="shared" si="21"/>
        <v>0</v>
      </c>
      <c r="H91" t="s">
        <v>32</v>
      </c>
      <c r="I91">
        <f t="shared" si="22"/>
        <v>0</v>
      </c>
      <c r="J91">
        <f t="shared" si="29"/>
        <v>32702</v>
      </c>
      <c r="K91" s="15">
        <f t="shared" si="23"/>
        <v>598</v>
      </c>
      <c r="L91" s="15">
        <f t="shared" si="24"/>
        <v>288</v>
      </c>
      <c r="M91">
        <v>13</v>
      </c>
      <c r="N91">
        <v>6</v>
      </c>
      <c r="O91">
        <v>12</v>
      </c>
      <c r="P91">
        <v>5</v>
      </c>
      <c r="Q91" s="9">
        <v>76</v>
      </c>
      <c r="R91">
        <v>14</v>
      </c>
      <c r="S91" t="s">
        <v>68</v>
      </c>
      <c r="T91" s="11">
        <f t="shared" si="25"/>
        <v>20</v>
      </c>
      <c r="U91" s="11">
        <f t="shared" si="26"/>
        <v>20</v>
      </c>
      <c r="V91" t="str">
        <f t="shared" si="27"/>
        <v>S2 4SU</v>
      </c>
      <c r="W91" t="str">
        <f t="shared" si="28"/>
        <v>PE2 8AL</v>
      </c>
      <c r="X91" s="12">
        <v>19555</v>
      </c>
      <c r="Y91" s="15">
        <f t="shared" si="18"/>
        <v>29</v>
      </c>
    </row>
    <row r="92" spans="1:25" x14ac:dyDescent="0.2">
      <c r="A92" t="s">
        <v>3</v>
      </c>
      <c r="B92" s="1">
        <v>42630</v>
      </c>
      <c r="C92" s="2" t="str">
        <f t="shared" si="19"/>
        <v>Sat</v>
      </c>
      <c r="D92" t="s">
        <v>20</v>
      </c>
      <c r="E92" t="s">
        <v>18</v>
      </c>
      <c r="F92" t="str">
        <f t="shared" si="20"/>
        <v>D</v>
      </c>
      <c r="G92">
        <f t="shared" si="21"/>
        <v>0</v>
      </c>
      <c r="H92" t="s">
        <v>32</v>
      </c>
      <c r="I92">
        <f t="shared" si="22"/>
        <v>0</v>
      </c>
      <c r="J92">
        <f t="shared" si="29"/>
        <v>9875</v>
      </c>
      <c r="K92" s="15">
        <f t="shared" si="23"/>
        <v>508</v>
      </c>
      <c r="L92" s="15">
        <f t="shared" si="24"/>
        <v>285</v>
      </c>
      <c r="M92">
        <v>19</v>
      </c>
      <c r="N92">
        <v>2</v>
      </c>
      <c r="O92">
        <v>6</v>
      </c>
      <c r="P92">
        <v>12</v>
      </c>
      <c r="Q92" s="9">
        <v>105</v>
      </c>
      <c r="R92">
        <v>17</v>
      </c>
      <c r="T92" s="11">
        <f t="shared" si="25"/>
        <v>20</v>
      </c>
      <c r="U92" s="11">
        <f t="shared" si="26"/>
        <v>20</v>
      </c>
      <c r="V92" t="str">
        <f t="shared" si="27"/>
        <v>SY2 6ST</v>
      </c>
      <c r="W92" t="str">
        <f t="shared" si="28"/>
        <v>DN15 8TD</v>
      </c>
      <c r="X92" s="12">
        <v>4878</v>
      </c>
      <c r="Y92" s="15">
        <f t="shared" si="18"/>
        <v>22</v>
      </c>
    </row>
    <row r="93" spans="1:25" x14ac:dyDescent="0.2">
      <c r="A93" t="s">
        <v>3</v>
      </c>
      <c r="B93" s="1">
        <v>42630</v>
      </c>
      <c r="C93" s="2" t="str">
        <f t="shared" si="19"/>
        <v>Sat</v>
      </c>
      <c r="D93" t="s">
        <v>22</v>
      </c>
      <c r="E93" t="s">
        <v>10</v>
      </c>
      <c r="F93" t="str">
        <f t="shared" si="20"/>
        <v>D</v>
      </c>
      <c r="G93">
        <f t="shared" si="21"/>
        <v>0</v>
      </c>
      <c r="H93" t="s">
        <v>32</v>
      </c>
      <c r="I93">
        <f t="shared" si="22"/>
        <v>0</v>
      </c>
      <c r="J93">
        <f t="shared" si="29"/>
        <v>12392</v>
      </c>
      <c r="K93" s="15">
        <f t="shared" si="23"/>
        <v>827</v>
      </c>
      <c r="L93" s="15">
        <f t="shared" si="24"/>
        <v>395</v>
      </c>
      <c r="M93">
        <v>22</v>
      </c>
      <c r="N93">
        <v>5</v>
      </c>
      <c r="O93">
        <v>5</v>
      </c>
      <c r="P93">
        <v>8</v>
      </c>
      <c r="Q93" s="9">
        <v>33</v>
      </c>
      <c r="R93">
        <v>14</v>
      </c>
      <c r="T93" s="11">
        <f t="shared" si="25"/>
        <v>25</v>
      </c>
      <c r="U93" s="11">
        <f t="shared" si="26"/>
        <v>22</v>
      </c>
      <c r="V93" t="str">
        <f t="shared" si="27"/>
        <v>SS2 6NQ</v>
      </c>
      <c r="W93" t="str">
        <f t="shared" si="28"/>
        <v>SE16 3LN</v>
      </c>
      <c r="X93" s="12">
        <v>7752</v>
      </c>
      <c r="Y93" s="15">
        <f t="shared" si="18"/>
        <v>25</v>
      </c>
    </row>
    <row r="94" spans="1:25" x14ac:dyDescent="0.2">
      <c r="A94" t="s">
        <v>3</v>
      </c>
      <c r="B94" s="1">
        <v>42630</v>
      </c>
      <c r="C94" s="2" t="str">
        <f t="shared" si="19"/>
        <v>Sat</v>
      </c>
      <c r="D94" t="s">
        <v>24</v>
      </c>
      <c r="E94" t="s">
        <v>8</v>
      </c>
      <c r="F94" t="str">
        <f t="shared" si="20"/>
        <v>D</v>
      </c>
      <c r="G94">
        <f t="shared" si="21"/>
        <v>0</v>
      </c>
      <c r="H94" t="s">
        <v>32</v>
      </c>
      <c r="I94">
        <f t="shared" si="22"/>
        <v>0</v>
      </c>
      <c r="J94">
        <f t="shared" si="29"/>
        <v>15728</v>
      </c>
      <c r="K94" s="15">
        <f t="shared" si="23"/>
        <v>608</v>
      </c>
      <c r="L94" s="15">
        <f t="shared" si="24"/>
        <v>345</v>
      </c>
      <c r="M94">
        <v>17</v>
      </c>
      <c r="N94">
        <v>7</v>
      </c>
      <c r="O94">
        <v>5</v>
      </c>
      <c r="P94">
        <v>10</v>
      </c>
      <c r="Q94" s="9">
        <v>141</v>
      </c>
      <c r="R94">
        <v>14</v>
      </c>
      <c r="T94" s="11">
        <f t="shared" si="25"/>
        <v>19</v>
      </c>
      <c r="U94" s="11">
        <f t="shared" si="26"/>
        <v>19</v>
      </c>
      <c r="V94" t="str">
        <f t="shared" si="27"/>
        <v>SN1 2ED</v>
      </c>
      <c r="W94" t="str">
        <f t="shared" si="28"/>
        <v>BL9 9HR</v>
      </c>
      <c r="X94" s="12">
        <v>6931</v>
      </c>
      <c r="Y94" s="15">
        <f t="shared" si="18"/>
        <v>25</v>
      </c>
    </row>
    <row r="95" spans="1:25" x14ac:dyDescent="0.2">
      <c r="A95" t="s">
        <v>3</v>
      </c>
      <c r="B95" s="1">
        <v>42630</v>
      </c>
      <c r="C95" s="2" t="str">
        <f t="shared" si="19"/>
        <v>Sat</v>
      </c>
      <c r="D95" t="s">
        <v>26</v>
      </c>
      <c r="E95" t="s">
        <v>4</v>
      </c>
      <c r="F95" t="str">
        <f t="shared" si="20"/>
        <v>D</v>
      </c>
      <c r="G95">
        <f t="shared" si="21"/>
        <v>0</v>
      </c>
      <c r="H95" t="s">
        <v>32</v>
      </c>
      <c r="I95">
        <f t="shared" si="22"/>
        <v>0</v>
      </c>
      <c r="J95">
        <f t="shared" si="29"/>
        <v>11300</v>
      </c>
      <c r="K95" s="15">
        <f t="shared" si="23"/>
        <v>912</v>
      </c>
      <c r="L95" s="15">
        <f t="shared" si="24"/>
        <v>253</v>
      </c>
      <c r="M95">
        <v>20</v>
      </c>
      <c r="N95">
        <v>1</v>
      </c>
      <c r="O95">
        <v>5</v>
      </c>
      <c r="P95">
        <v>6</v>
      </c>
      <c r="Q95" s="9">
        <v>74</v>
      </c>
      <c r="R95">
        <v>13</v>
      </c>
      <c r="T95" s="11">
        <f t="shared" si="25"/>
        <v>20</v>
      </c>
      <c r="U95" s="11">
        <f t="shared" si="26"/>
        <v>20</v>
      </c>
      <c r="V95" t="str">
        <f t="shared" si="27"/>
        <v>WS1 4SA</v>
      </c>
      <c r="W95" t="str">
        <f t="shared" si="28"/>
        <v>BL6 6JW</v>
      </c>
      <c r="X95" s="12">
        <v>5962</v>
      </c>
      <c r="Y95" s="15">
        <f t="shared" si="18"/>
        <v>25.5</v>
      </c>
    </row>
    <row r="96" spans="1:25" x14ac:dyDescent="0.2">
      <c r="A96" t="s">
        <v>3</v>
      </c>
      <c r="B96" s="1">
        <v>42633</v>
      </c>
      <c r="C96" s="2" t="str">
        <f t="shared" si="19"/>
        <v>Tue</v>
      </c>
      <c r="D96" t="s">
        <v>18</v>
      </c>
      <c r="E96" t="s">
        <v>9</v>
      </c>
      <c r="F96" t="str">
        <f t="shared" si="20"/>
        <v>E</v>
      </c>
      <c r="G96">
        <f t="shared" si="21"/>
        <v>1</v>
      </c>
      <c r="H96" t="s">
        <v>32</v>
      </c>
      <c r="I96">
        <f t="shared" si="22"/>
        <v>0</v>
      </c>
      <c r="J96">
        <f t="shared" si="29"/>
        <v>9183</v>
      </c>
      <c r="K96" s="15">
        <f t="shared" si="23"/>
        <v>680</v>
      </c>
      <c r="L96" s="15">
        <f t="shared" si="24"/>
        <v>288</v>
      </c>
      <c r="M96">
        <v>3</v>
      </c>
      <c r="N96">
        <v>14</v>
      </c>
      <c r="O96">
        <v>10</v>
      </c>
      <c r="P96">
        <v>6</v>
      </c>
      <c r="Q96" s="9">
        <v>149</v>
      </c>
      <c r="R96">
        <v>13</v>
      </c>
      <c r="S96" t="s">
        <v>69</v>
      </c>
      <c r="T96" s="11">
        <f t="shared" si="25"/>
        <v>18</v>
      </c>
      <c r="U96" s="11">
        <f t="shared" si="26"/>
        <v>22</v>
      </c>
      <c r="V96" t="str">
        <f t="shared" si="27"/>
        <v>DN15 8TD</v>
      </c>
      <c r="W96" t="str">
        <f t="shared" si="28"/>
        <v>SE7 8BL</v>
      </c>
      <c r="X96" s="12">
        <v>3801</v>
      </c>
      <c r="Y96" s="15">
        <f t="shared" si="18"/>
        <v>23</v>
      </c>
    </row>
    <row r="97" spans="1:25" x14ac:dyDescent="0.2">
      <c r="A97" t="s">
        <v>3</v>
      </c>
      <c r="B97" s="1">
        <v>42633</v>
      </c>
      <c r="C97" s="2" t="str">
        <f t="shared" si="19"/>
        <v>Tue</v>
      </c>
      <c r="D97" t="s">
        <v>24</v>
      </c>
      <c r="E97" t="s">
        <v>19</v>
      </c>
      <c r="F97" t="str">
        <f t="shared" si="20"/>
        <v>E</v>
      </c>
      <c r="G97">
        <f t="shared" si="21"/>
        <v>1</v>
      </c>
      <c r="H97" t="s">
        <v>32</v>
      </c>
      <c r="I97">
        <f t="shared" si="22"/>
        <v>0</v>
      </c>
      <c r="J97">
        <f t="shared" si="29"/>
        <v>15728</v>
      </c>
      <c r="K97" s="15">
        <f t="shared" si="23"/>
        <v>1159</v>
      </c>
      <c r="L97" s="15">
        <f t="shared" si="24"/>
        <v>345</v>
      </c>
      <c r="M97">
        <v>9</v>
      </c>
      <c r="N97">
        <v>18</v>
      </c>
      <c r="O97">
        <v>4</v>
      </c>
      <c r="P97">
        <v>7</v>
      </c>
      <c r="Q97" s="9">
        <v>35</v>
      </c>
      <c r="R97">
        <v>15</v>
      </c>
      <c r="S97" t="s">
        <v>68</v>
      </c>
      <c r="T97" s="11">
        <f t="shared" si="25"/>
        <v>19</v>
      </c>
      <c r="U97" s="11">
        <f t="shared" si="26"/>
        <v>19</v>
      </c>
      <c r="V97" t="str">
        <f t="shared" si="27"/>
        <v>SN1 2ED</v>
      </c>
      <c r="W97" t="str">
        <f t="shared" si="28"/>
        <v>BS7 0BF</v>
      </c>
      <c r="X97" s="12">
        <v>6760</v>
      </c>
      <c r="Y97" s="15">
        <f t="shared" si="18"/>
        <v>25</v>
      </c>
    </row>
    <row r="98" spans="1:25" x14ac:dyDescent="0.2">
      <c r="A98" t="s">
        <v>3</v>
      </c>
      <c r="B98" s="1">
        <v>42637</v>
      </c>
      <c r="C98" s="2" t="str">
        <f t="shared" si="19"/>
        <v>Sat</v>
      </c>
      <c r="D98" t="s">
        <v>27</v>
      </c>
      <c r="E98" t="s">
        <v>20</v>
      </c>
      <c r="F98" t="str">
        <f t="shared" si="20"/>
        <v>D</v>
      </c>
      <c r="G98">
        <f t="shared" si="21"/>
        <v>0</v>
      </c>
      <c r="H98" t="s">
        <v>32</v>
      </c>
      <c r="I98">
        <f t="shared" si="22"/>
        <v>0</v>
      </c>
      <c r="J98">
        <f t="shared" si="29"/>
        <v>4850</v>
      </c>
      <c r="K98" s="15">
        <f t="shared" si="23"/>
        <v>438</v>
      </c>
      <c r="L98" s="15">
        <f t="shared" si="24"/>
        <v>260</v>
      </c>
      <c r="M98">
        <v>18</v>
      </c>
      <c r="N98">
        <v>22</v>
      </c>
      <c r="O98">
        <v>8</v>
      </c>
      <c r="P98">
        <v>4</v>
      </c>
      <c r="Q98" s="9">
        <v>137</v>
      </c>
      <c r="R98">
        <v>21</v>
      </c>
      <c r="T98" s="11">
        <f t="shared" si="25"/>
        <v>17</v>
      </c>
      <c r="U98" s="11">
        <f t="shared" si="26"/>
        <v>17</v>
      </c>
      <c r="V98" t="str">
        <f t="shared" si="27"/>
        <v>KT1 3PB</v>
      </c>
      <c r="W98" t="str">
        <f t="shared" si="28"/>
        <v>SY2 6ST</v>
      </c>
      <c r="X98" s="12">
        <v>4318</v>
      </c>
      <c r="Y98" s="15">
        <f t="shared" si="18"/>
        <v>29</v>
      </c>
    </row>
    <row r="99" spans="1:25" x14ac:dyDescent="0.2">
      <c r="A99" t="s">
        <v>3</v>
      </c>
      <c r="B99" s="1">
        <v>42637</v>
      </c>
      <c r="C99" s="2" t="str">
        <f t="shared" si="19"/>
        <v>Sat</v>
      </c>
      <c r="D99" t="s">
        <v>4</v>
      </c>
      <c r="E99" t="s">
        <v>6</v>
      </c>
      <c r="F99" t="str">
        <f t="shared" si="20"/>
        <v>D</v>
      </c>
      <c r="G99">
        <f t="shared" si="21"/>
        <v>0</v>
      </c>
      <c r="H99" t="s">
        <v>32</v>
      </c>
      <c r="I99">
        <f t="shared" si="22"/>
        <v>0</v>
      </c>
      <c r="J99">
        <f t="shared" si="29"/>
        <v>28723</v>
      </c>
      <c r="K99" s="15">
        <f t="shared" si="23"/>
        <v>1437</v>
      </c>
      <c r="L99" s="15">
        <f t="shared" si="24"/>
        <v>280</v>
      </c>
      <c r="M99">
        <v>2</v>
      </c>
      <c r="N99">
        <v>4</v>
      </c>
      <c r="O99">
        <v>4</v>
      </c>
      <c r="P99">
        <v>5</v>
      </c>
      <c r="Q99" s="9">
        <v>43</v>
      </c>
      <c r="R99">
        <v>16</v>
      </c>
      <c r="T99" s="11">
        <f t="shared" si="25"/>
        <v>15</v>
      </c>
      <c r="U99" s="11">
        <f t="shared" si="26"/>
        <v>15</v>
      </c>
      <c r="V99" t="str">
        <f t="shared" si="27"/>
        <v>BL6 6JW</v>
      </c>
      <c r="W99" t="str">
        <f t="shared" si="28"/>
        <v>BD8 7DY</v>
      </c>
      <c r="X99" s="12">
        <v>17486</v>
      </c>
      <c r="Y99" s="15">
        <f t="shared" si="18"/>
        <v>30</v>
      </c>
    </row>
    <row r="100" spans="1:25" x14ac:dyDescent="0.2">
      <c r="A100" t="s">
        <v>3</v>
      </c>
      <c r="B100" s="1">
        <v>42637</v>
      </c>
      <c r="C100" s="2" t="str">
        <f t="shared" si="19"/>
        <v>Sat</v>
      </c>
      <c r="D100" t="s">
        <v>19</v>
      </c>
      <c r="E100" t="s">
        <v>7</v>
      </c>
      <c r="F100" t="str">
        <f t="shared" si="20"/>
        <v>D</v>
      </c>
      <c r="G100">
        <f t="shared" si="21"/>
        <v>0</v>
      </c>
      <c r="H100" t="s">
        <v>32</v>
      </c>
      <c r="I100">
        <f t="shared" si="22"/>
        <v>0</v>
      </c>
      <c r="J100">
        <f t="shared" si="29"/>
        <v>12000</v>
      </c>
      <c r="K100" s="15">
        <f t="shared" si="23"/>
        <v>697</v>
      </c>
      <c r="L100" s="15">
        <f t="shared" si="24"/>
        <v>260</v>
      </c>
      <c r="M100">
        <v>15</v>
      </c>
      <c r="N100">
        <v>5</v>
      </c>
      <c r="O100">
        <v>9</v>
      </c>
      <c r="P100">
        <v>7</v>
      </c>
      <c r="Q100" s="9">
        <v>109</v>
      </c>
      <c r="R100">
        <v>17</v>
      </c>
      <c r="T100" s="11">
        <f t="shared" si="25"/>
        <v>18</v>
      </c>
      <c r="U100" s="11">
        <f t="shared" si="26"/>
        <v>16</v>
      </c>
      <c r="V100" t="str">
        <f t="shared" si="27"/>
        <v>BS7 0BF</v>
      </c>
      <c r="W100" t="str">
        <f t="shared" si="28"/>
        <v>ST6 1AW</v>
      </c>
      <c r="X100" s="12">
        <v>9088</v>
      </c>
      <c r="Y100" s="15">
        <f t="shared" si="18"/>
        <v>26</v>
      </c>
    </row>
    <row r="101" spans="1:25" x14ac:dyDescent="0.2">
      <c r="A101" t="s">
        <v>3</v>
      </c>
      <c r="B101" s="1">
        <v>42637</v>
      </c>
      <c r="C101" s="2" t="str">
        <f t="shared" si="19"/>
        <v>Sat</v>
      </c>
      <c r="D101" t="s">
        <v>8</v>
      </c>
      <c r="E101" t="s">
        <v>15</v>
      </c>
      <c r="F101" t="str">
        <f t="shared" si="20"/>
        <v>D</v>
      </c>
      <c r="G101">
        <f t="shared" si="21"/>
        <v>0</v>
      </c>
      <c r="H101" t="s">
        <v>32</v>
      </c>
      <c r="I101">
        <f t="shared" si="22"/>
        <v>0</v>
      </c>
      <c r="J101">
        <f t="shared" si="29"/>
        <v>11841</v>
      </c>
      <c r="K101" s="15">
        <f t="shared" si="23"/>
        <v>583</v>
      </c>
      <c r="L101" s="15">
        <f t="shared" si="24"/>
        <v>275</v>
      </c>
      <c r="M101">
        <v>3</v>
      </c>
      <c r="N101">
        <v>10</v>
      </c>
      <c r="O101">
        <v>13</v>
      </c>
      <c r="P101">
        <v>4</v>
      </c>
      <c r="Q101" s="9">
        <v>42</v>
      </c>
      <c r="R101">
        <v>16</v>
      </c>
      <c r="T101" s="11">
        <f t="shared" si="25"/>
        <v>18</v>
      </c>
      <c r="U101" s="11">
        <f t="shared" si="26"/>
        <v>18</v>
      </c>
      <c r="V101" t="str">
        <f t="shared" si="27"/>
        <v>BL9 9HR</v>
      </c>
      <c r="W101" t="str">
        <f t="shared" si="28"/>
        <v>S41 8NZ</v>
      </c>
      <c r="X101" s="12">
        <v>3494</v>
      </c>
      <c r="Y101" s="15">
        <f t="shared" si="18"/>
        <v>22</v>
      </c>
    </row>
    <row r="102" spans="1:25" x14ac:dyDescent="0.2">
      <c r="A102" t="s">
        <v>3</v>
      </c>
      <c r="B102" s="1">
        <v>42637</v>
      </c>
      <c r="C102" s="2" t="str">
        <f t="shared" si="19"/>
        <v>Sat</v>
      </c>
      <c r="D102" t="s">
        <v>13</v>
      </c>
      <c r="E102" t="s">
        <v>21</v>
      </c>
      <c r="F102" t="str">
        <f t="shared" si="20"/>
        <v>D</v>
      </c>
      <c r="G102">
        <f t="shared" si="21"/>
        <v>0</v>
      </c>
      <c r="H102" t="s">
        <v>32</v>
      </c>
      <c r="I102">
        <f t="shared" si="22"/>
        <v>0</v>
      </c>
      <c r="J102">
        <f t="shared" si="29"/>
        <v>5327</v>
      </c>
      <c r="K102" s="15">
        <f t="shared" si="23"/>
        <v>596</v>
      </c>
      <c r="L102" s="15">
        <f t="shared" si="24"/>
        <v>210</v>
      </c>
      <c r="M102">
        <v>7</v>
      </c>
      <c r="N102">
        <v>17</v>
      </c>
      <c r="O102">
        <v>7</v>
      </c>
      <c r="P102">
        <v>5</v>
      </c>
      <c r="Q102" s="9">
        <v>163</v>
      </c>
      <c r="R102">
        <v>16</v>
      </c>
      <c r="S102" t="s">
        <v>68</v>
      </c>
      <c r="T102" s="11">
        <f t="shared" si="25"/>
        <v>21.5</v>
      </c>
      <c r="U102" s="11">
        <f t="shared" si="26"/>
        <v>21.5</v>
      </c>
      <c r="V102" t="str">
        <f t="shared" si="27"/>
        <v>FY7 6TX</v>
      </c>
      <c r="W102" t="str">
        <f t="shared" si="28"/>
        <v>MK1 1ST</v>
      </c>
      <c r="X102" s="12">
        <v>2518</v>
      </c>
      <c r="Y102" s="15">
        <f t="shared" si="18"/>
        <v>23.5</v>
      </c>
    </row>
    <row r="103" spans="1:25" x14ac:dyDescent="0.2">
      <c r="A103" t="s">
        <v>3</v>
      </c>
      <c r="B103" s="1">
        <v>42637</v>
      </c>
      <c r="C103" s="2" t="str">
        <f t="shared" si="19"/>
        <v>Sat</v>
      </c>
      <c r="D103" t="s">
        <v>23</v>
      </c>
      <c r="E103" t="s">
        <v>25</v>
      </c>
      <c r="F103" t="str">
        <f t="shared" si="20"/>
        <v>D</v>
      </c>
      <c r="G103">
        <f t="shared" si="21"/>
        <v>0</v>
      </c>
      <c r="H103" t="s">
        <v>32</v>
      </c>
      <c r="I103">
        <f t="shared" si="22"/>
        <v>0</v>
      </c>
      <c r="J103">
        <f t="shared" si="29"/>
        <v>11582</v>
      </c>
      <c r="K103" s="15">
        <f t="shared" si="23"/>
        <v>1280</v>
      </c>
      <c r="L103" s="15">
        <f t="shared" si="24"/>
        <v>285</v>
      </c>
      <c r="M103">
        <v>13</v>
      </c>
      <c r="N103">
        <v>24</v>
      </c>
      <c r="O103">
        <v>7</v>
      </c>
      <c r="P103">
        <v>3</v>
      </c>
      <c r="Q103" s="9">
        <v>114</v>
      </c>
      <c r="R103">
        <v>20</v>
      </c>
      <c r="T103" s="11">
        <f t="shared" si="25"/>
        <v>12</v>
      </c>
      <c r="U103" s="11">
        <f t="shared" si="26"/>
        <v>10</v>
      </c>
      <c r="V103" t="str">
        <f t="shared" si="27"/>
        <v>ME7 4DD</v>
      </c>
      <c r="W103" t="str">
        <f t="shared" si="28"/>
        <v>CV6 6GE</v>
      </c>
      <c r="X103" s="12">
        <v>7664</v>
      </c>
      <c r="Y103" s="15">
        <f t="shared" si="18"/>
        <v>28</v>
      </c>
    </row>
    <row r="104" spans="1:25" x14ac:dyDescent="0.2">
      <c r="A104" t="s">
        <v>3</v>
      </c>
      <c r="B104" s="1">
        <v>42637</v>
      </c>
      <c r="C104" s="2" t="str">
        <f t="shared" si="19"/>
        <v>Sat</v>
      </c>
      <c r="D104" t="s">
        <v>10</v>
      </c>
      <c r="E104" t="s">
        <v>16</v>
      </c>
      <c r="F104" t="str">
        <f t="shared" si="20"/>
        <v>D</v>
      </c>
      <c r="G104">
        <f t="shared" si="21"/>
        <v>0</v>
      </c>
      <c r="H104" t="s">
        <v>32</v>
      </c>
      <c r="I104">
        <f t="shared" si="22"/>
        <v>0</v>
      </c>
      <c r="J104">
        <f t="shared" si="29"/>
        <v>20146</v>
      </c>
      <c r="K104" s="15">
        <f t="shared" si="23"/>
        <v>497</v>
      </c>
      <c r="L104" s="15">
        <f t="shared" si="24"/>
        <v>333</v>
      </c>
      <c r="M104">
        <v>8</v>
      </c>
      <c r="N104">
        <v>23</v>
      </c>
      <c r="O104">
        <v>5</v>
      </c>
      <c r="P104">
        <v>8</v>
      </c>
      <c r="Q104" s="9">
        <v>173</v>
      </c>
      <c r="R104">
        <v>18</v>
      </c>
      <c r="T104" s="11">
        <f t="shared" si="25"/>
        <v>22</v>
      </c>
      <c r="U104" s="11">
        <f t="shared" si="26"/>
        <v>23</v>
      </c>
      <c r="V104" t="str">
        <f t="shared" si="27"/>
        <v>SE16 3LN</v>
      </c>
      <c r="W104" t="str">
        <f t="shared" si="28"/>
        <v>OL11 5DR</v>
      </c>
      <c r="X104" s="12">
        <v>8143</v>
      </c>
      <c r="Y104" s="15">
        <f t="shared" si="18"/>
        <v>30</v>
      </c>
    </row>
    <row r="105" spans="1:25" x14ac:dyDescent="0.2">
      <c r="A105" t="s">
        <v>3</v>
      </c>
      <c r="B105" s="1">
        <v>42637</v>
      </c>
      <c r="C105" s="2" t="str">
        <f t="shared" si="19"/>
        <v>Sat</v>
      </c>
      <c r="D105" t="s">
        <v>12</v>
      </c>
      <c r="E105" t="s">
        <v>22</v>
      </c>
      <c r="F105" t="str">
        <f t="shared" si="20"/>
        <v>D</v>
      </c>
      <c r="G105">
        <f t="shared" si="21"/>
        <v>0</v>
      </c>
      <c r="H105" t="s">
        <v>32</v>
      </c>
      <c r="I105">
        <f t="shared" si="22"/>
        <v>0</v>
      </c>
      <c r="J105">
        <f t="shared" si="29"/>
        <v>7653</v>
      </c>
      <c r="K105" s="15">
        <f t="shared" si="23"/>
        <v>635</v>
      </c>
      <c r="L105" s="15">
        <f t="shared" si="24"/>
        <v>249</v>
      </c>
      <c r="M105">
        <v>11</v>
      </c>
      <c r="N105">
        <v>21</v>
      </c>
      <c r="O105">
        <v>10</v>
      </c>
      <c r="P105">
        <v>4</v>
      </c>
      <c r="Q105" s="9">
        <v>85</v>
      </c>
      <c r="R105">
        <v>16</v>
      </c>
      <c r="T105" s="11">
        <f t="shared" si="25"/>
        <v>24</v>
      </c>
      <c r="U105" s="11">
        <f t="shared" si="26"/>
        <v>24</v>
      </c>
      <c r="V105" t="str">
        <f t="shared" si="27"/>
        <v>NN5 5QA</v>
      </c>
      <c r="W105" t="str">
        <f t="shared" si="28"/>
        <v>SS2 6NQ</v>
      </c>
      <c r="X105" s="12">
        <v>6138</v>
      </c>
      <c r="Y105" s="15">
        <f t="shared" si="18"/>
        <v>24</v>
      </c>
    </row>
    <row r="106" spans="1:25" x14ac:dyDescent="0.2">
      <c r="A106" t="s">
        <v>3</v>
      </c>
      <c r="B106" s="1">
        <v>42637</v>
      </c>
      <c r="C106" s="2" t="str">
        <f t="shared" si="19"/>
        <v>Sat</v>
      </c>
      <c r="D106" t="s">
        <v>11</v>
      </c>
      <c r="E106" t="s">
        <v>24</v>
      </c>
      <c r="F106" t="str">
        <f t="shared" si="20"/>
        <v>D</v>
      </c>
      <c r="G106">
        <f t="shared" si="21"/>
        <v>0</v>
      </c>
      <c r="H106" t="s">
        <v>32</v>
      </c>
      <c r="I106">
        <f t="shared" si="22"/>
        <v>0</v>
      </c>
      <c r="J106">
        <f t="shared" si="29"/>
        <v>13559</v>
      </c>
      <c r="K106" s="15">
        <f t="shared" si="23"/>
        <v>503</v>
      </c>
      <c r="L106" s="15">
        <f t="shared" si="24"/>
        <v>300</v>
      </c>
      <c r="M106">
        <v>19</v>
      </c>
      <c r="N106">
        <v>20</v>
      </c>
      <c r="O106">
        <v>3</v>
      </c>
      <c r="P106">
        <v>4</v>
      </c>
      <c r="Q106" s="9">
        <v>138.43899999999999</v>
      </c>
      <c r="R106">
        <v>19</v>
      </c>
      <c r="T106" s="11">
        <f t="shared" si="25"/>
        <v>22</v>
      </c>
      <c r="U106" s="11">
        <f t="shared" si="26"/>
        <v>24</v>
      </c>
      <c r="V106" t="str">
        <f t="shared" si="27"/>
        <v>OL1 2PA</v>
      </c>
      <c r="W106" t="str">
        <f t="shared" si="28"/>
        <v>SN1 2ED</v>
      </c>
      <c r="X106" s="12">
        <v>3403</v>
      </c>
      <c r="Y106" s="15">
        <f t="shared" si="18"/>
        <v>24</v>
      </c>
    </row>
    <row r="107" spans="1:25" x14ac:dyDescent="0.2">
      <c r="A107" t="s">
        <v>3</v>
      </c>
      <c r="B107" s="1">
        <v>42637</v>
      </c>
      <c r="C107" s="2" t="str">
        <f t="shared" si="19"/>
        <v>Sat</v>
      </c>
      <c r="D107" t="s">
        <v>14</v>
      </c>
      <c r="E107" t="s">
        <v>9</v>
      </c>
      <c r="F107" t="str">
        <f t="shared" si="20"/>
        <v>D</v>
      </c>
      <c r="G107">
        <f t="shared" si="21"/>
        <v>0</v>
      </c>
      <c r="H107" t="s">
        <v>32</v>
      </c>
      <c r="I107">
        <f t="shared" si="22"/>
        <v>0</v>
      </c>
      <c r="J107">
        <f t="shared" si="29"/>
        <v>12500</v>
      </c>
      <c r="K107" s="15">
        <f t="shared" si="23"/>
        <v>680</v>
      </c>
      <c r="L107" s="15">
        <f t="shared" si="24"/>
        <v>290</v>
      </c>
      <c r="M107">
        <v>12</v>
      </c>
      <c r="N107">
        <v>14</v>
      </c>
      <c r="O107">
        <v>8</v>
      </c>
      <c r="P107">
        <v>4</v>
      </c>
      <c r="Q107" s="9">
        <v>55.948999999999998</v>
      </c>
      <c r="R107">
        <v>16</v>
      </c>
      <c r="T107" s="11">
        <f t="shared" si="25"/>
        <v>20</v>
      </c>
      <c r="U107" s="11">
        <f t="shared" si="26"/>
        <v>21</v>
      </c>
      <c r="V107" t="str">
        <f t="shared" si="27"/>
        <v>OX4 4XP</v>
      </c>
      <c r="W107" t="str">
        <f t="shared" si="28"/>
        <v>SE7 8BL</v>
      </c>
      <c r="X107" s="12">
        <v>8847</v>
      </c>
      <c r="Y107" s="15">
        <f t="shared" si="18"/>
        <v>24</v>
      </c>
    </row>
    <row r="108" spans="1:25" x14ac:dyDescent="0.2">
      <c r="A108" t="s">
        <v>3</v>
      </c>
      <c r="B108" s="1">
        <v>42637</v>
      </c>
      <c r="C108" s="2" t="str">
        <f t="shared" si="19"/>
        <v>Sat</v>
      </c>
      <c r="D108" t="s">
        <v>17</v>
      </c>
      <c r="E108" t="s">
        <v>26</v>
      </c>
      <c r="F108" t="str">
        <f t="shared" si="20"/>
        <v>D</v>
      </c>
      <c r="G108">
        <f t="shared" si="21"/>
        <v>0</v>
      </c>
      <c r="H108" t="s">
        <v>32</v>
      </c>
      <c r="I108">
        <f t="shared" si="22"/>
        <v>0</v>
      </c>
      <c r="J108">
        <f t="shared" si="29"/>
        <v>15314</v>
      </c>
      <c r="K108" s="15">
        <f t="shared" si="23"/>
        <v>792</v>
      </c>
      <c r="L108" s="15">
        <f t="shared" si="24"/>
        <v>295</v>
      </c>
      <c r="M108">
        <v>9</v>
      </c>
      <c r="N108">
        <v>16</v>
      </c>
      <c r="O108">
        <v>6</v>
      </c>
      <c r="P108">
        <v>6</v>
      </c>
      <c r="Q108" s="9">
        <v>73.613</v>
      </c>
      <c r="R108">
        <v>14</v>
      </c>
      <c r="T108" s="11">
        <f t="shared" si="25"/>
        <v>21</v>
      </c>
      <c r="U108" s="11">
        <f t="shared" si="26"/>
        <v>20</v>
      </c>
      <c r="V108" t="str">
        <f t="shared" si="27"/>
        <v>PE2 8AL</v>
      </c>
      <c r="W108" t="str">
        <f t="shared" si="28"/>
        <v>WS1 4SA</v>
      </c>
      <c r="X108" s="12">
        <v>4906</v>
      </c>
      <c r="Y108" s="15">
        <f t="shared" si="18"/>
        <v>26</v>
      </c>
    </row>
    <row r="109" spans="1:25" x14ac:dyDescent="0.2">
      <c r="A109" t="s">
        <v>3</v>
      </c>
      <c r="B109" s="1">
        <v>42637</v>
      </c>
      <c r="C109" s="2" t="str">
        <f t="shared" si="19"/>
        <v>Sat</v>
      </c>
      <c r="D109" t="s">
        <v>18</v>
      </c>
      <c r="E109" t="s">
        <v>5</v>
      </c>
      <c r="F109" t="str">
        <f t="shared" si="20"/>
        <v>D</v>
      </c>
      <c r="G109">
        <f t="shared" si="21"/>
        <v>0</v>
      </c>
      <c r="H109" t="s">
        <v>32</v>
      </c>
      <c r="I109">
        <f t="shared" si="22"/>
        <v>0</v>
      </c>
      <c r="J109">
        <f t="shared" si="29"/>
        <v>9183</v>
      </c>
      <c r="K109" s="15">
        <f t="shared" si="23"/>
        <v>1622</v>
      </c>
      <c r="L109" s="15">
        <f t="shared" si="24"/>
        <v>288</v>
      </c>
      <c r="M109">
        <v>1</v>
      </c>
      <c r="N109">
        <v>6</v>
      </c>
      <c r="O109">
        <v>8</v>
      </c>
      <c r="P109">
        <v>13</v>
      </c>
      <c r="Q109" s="9">
        <v>35.235999999999997</v>
      </c>
      <c r="R109">
        <v>14</v>
      </c>
      <c r="T109" s="11">
        <f t="shared" si="25"/>
        <v>18</v>
      </c>
      <c r="U109" s="11">
        <f t="shared" si="26"/>
        <v>22</v>
      </c>
      <c r="V109" t="str">
        <f t="shared" si="27"/>
        <v>DN15 8TD</v>
      </c>
      <c r="W109" t="str">
        <f t="shared" si="28"/>
        <v>S2 4SU</v>
      </c>
      <c r="X109" s="12">
        <v>6243</v>
      </c>
      <c r="Y109" s="15">
        <f t="shared" si="18"/>
        <v>23</v>
      </c>
    </row>
    <row r="110" spans="1:25" x14ac:dyDescent="0.2">
      <c r="A110" t="s">
        <v>3</v>
      </c>
      <c r="B110" s="1">
        <v>42640</v>
      </c>
      <c r="C110" s="2" t="str">
        <f t="shared" si="19"/>
        <v>Tue</v>
      </c>
      <c r="D110" t="s">
        <v>6</v>
      </c>
      <c r="E110" t="s">
        <v>13</v>
      </c>
      <c r="F110" t="str">
        <f t="shared" si="20"/>
        <v>E</v>
      </c>
      <c r="G110">
        <f t="shared" si="21"/>
        <v>1</v>
      </c>
      <c r="H110" t="s">
        <v>32</v>
      </c>
      <c r="I110">
        <f t="shared" si="22"/>
        <v>0</v>
      </c>
      <c r="J110">
        <f t="shared" si="29"/>
        <v>25136</v>
      </c>
      <c r="K110" s="15">
        <f t="shared" si="23"/>
        <v>210</v>
      </c>
      <c r="L110" s="15">
        <f t="shared" si="24"/>
        <v>149</v>
      </c>
      <c r="M110">
        <v>4</v>
      </c>
      <c r="N110">
        <v>11</v>
      </c>
      <c r="O110">
        <v>7</v>
      </c>
      <c r="P110">
        <v>4</v>
      </c>
      <c r="Q110" s="9">
        <v>52.134</v>
      </c>
      <c r="R110">
        <v>14</v>
      </c>
      <c r="S110" t="s">
        <v>68</v>
      </c>
      <c r="T110" s="11">
        <f t="shared" si="25"/>
        <v>25</v>
      </c>
      <c r="U110" s="11">
        <f t="shared" si="26"/>
        <v>20</v>
      </c>
      <c r="V110" t="str">
        <f t="shared" si="27"/>
        <v>BD8 7DY</v>
      </c>
      <c r="W110" t="str">
        <f t="shared" si="28"/>
        <v>FY7 6TX</v>
      </c>
      <c r="X110" s="12">
        <v>16759</v>
      </c>
      <c r="Y110" s="15">
        <f t="shared" si="18"/>
        <v>25</v>
      </c>
    </row>
    <row r="111" spans="1:25" x14ac:dyDescent="0.2">
      <c r="A111" t="s">
        <v>3</v>
      </c>
      <c r="B111" s="1">
        <v>42640</v>
      </c>
      <c r="C111" s="2" t="str">
        <f t="shared" si="19"/>
        <v>Tue</v>
      </c>
      <c r="D111" t="s">
        <v>9</v>
      </c>
      <c r="E111" t="s">
        <v>11</v>
      </c>
      <c r="F111" t="str">
        <f t="shared" si="20"/>
        <v>E</v>
      </c>
      <c r="G111">
        <f t="shared" si="21"/>
        <v>1</v>
      </c>
      <c r="H111" t="s">
        <v>32</v>
      </c>
      <c r="I111">
        <f t="shared" si="22"/>
        <v>0</v>
      </c>
      <c r="J111">
        <f t="shared" si="29"/>
        <v>26875</v>
      </c>
      <c r="K111" s="15">
        <f t="shared" si="23"/>
        <v>729</v>
      </c>
      <c r="L111" s="15">
        <f t="shared" si="24"/>
        <v>175</v>
      </c>
      <c r="M111">
        <v>16</v>
      </c>
      <c r="N111">
        <v>22</v>
      </c>
      <c r="O111">
        <v>4</v>
      </c>
      <c r="P111">
        <v>3</v>
      </c>
      <c r="Q111" s="9">
        <v>169.59100000000001</v>
      </c>
      <c r="R111">
        <v>17</v>
      </c>
      <c r="T111" s="11">
        <f t="shared" si="25"/>
        <v>20</v>
      </c>
      <c r="U111" s="11">
        <f t="shared" si="26"/>
        <v>20</v>
      </c>
      <c r="V111" t="str">
        <f t="shared" si="27"/>
        <v>SE7 8BL</v>
      </c>
      <c r="W111" t="str">
        <f t="shared" si="28"/>
        <v>OL1 2PA</v>
      </c>
      <c r="X111" s="12">
        <v>8745</v>
      </c>
      <c r="Y111" s="15">
        <f t="shared" si="18"/>
        <v>35</v>
      </c>
    </row>
    <row r="112" spans="1:25" x14ac:dyDescent="0.2">
      <c r="A112" t="s">
        <v>3</v>
      </c>
      <c r="B112" s="1">
        <v>42640</v>
      </c>
      <c r="C112" s="2" t="str">
        <f t="shared" si="19"/>
        <v>Tue</v>
      </c>
      <c r="D112" t="s">
        <v>15</v>
      </c>
      <c r="E112" t="s">
        <v>23</v>
      </c>
      <c r="F112" t="str">
        <f t="shared" si="20"/>
        <v>E</v>
      </c>
      <c r="G112">
        <f t="shared" si="21"/>
        <v>1</v>
      </c>
      <c r="H112" t="s">
        <v>32</v>
      </c>
      <c r="I112">
        <f t="shared" si="22"/>
        <v>0</v>
      </c>
      <c r="J112">
        <f t="shared" si="29"/>
        <v>10504</v>
      </c>
      <c r="K112" s="15">
        <f t="shared" si="23"/>
        <v>533</v>
      </c>
      <c r="L112" s="15">
        <f t="shared" si="24"/>
        <v>345</v>
      </c>
      <c r="M112">
        <v>15</v>
      </c>
      <c r="N112">
        <v>8</v>
      </c>
      <c r="O112">
        <v>5</v>
      </c>
      <c r="P112">
        <v>5</v>
      </c>
      <c r="Q112" s="9">
        <v>154.102</v>
      </c>
      <c r="R112">
        <v>16</v>
      </c>
      <c r="T112" s="11">
        <f t="shared" si="25"/>
        <v>22</v>
      </c>
      <c r="U112" s="11">
        <f t="shared" si="26"/>
        <v>20</v>
      </c>
      <c r="V112" t="str">
        <f t="shared" si="27"/>
        <v>S41 8NZ</v>
      </c>
      <c r="W112" t="str">
        <f t="shared" si="28"/>
        <v>ME7 4DD</v>
      </c>
      <c r="X112" s="12">
        <v>4714</v>
      </c>
      <c r="Y112" s="15">
        <f t="shared" si="18"/>
        <v>26</v>
      </c>
    </row>
    <row r="113" spans="1:25" x14ac:dyDescent="0.2">
      <c r="A113" t="s">
        <v>3</v>
      </c>
      <c r="B113" s="1">
        <v>42640</v>
      </c>
      <c r="C113" s="2" t="str">
        <f t="shared" si="19"/>
        <v>Tue</v>
      </c>
      <c r="D113" t="s">
        <v>21</v>
      </c>
      <c r="E113" t="s">
        <v>8</v>
      </c>
      <c r="F113" t="str">
        <f t="shared" si="20"/>
        <v>E</v>
      </c>
      <c r="G113">
        <f t="shared" si="21"/>
        <v>1</v>
      </c>
      <c r="H113" t="s">
        <v>32</v>
      </c>
      <c r="I113">
        <f t="shared" si="22"/>
        <v>0</v>
      </c>
      <c r="J113">
        <f t="shared" si="29"/>
        <v>30500</v>
      </c>
      <c r="K113" s="15">
        <f t="shared" si="23"/>
        <v>608</v>
      </c>
      <c r="L113" s="15">
        <f t="shared" si="24"/>
        <v>312</v>
      </c>
      <c r="M113">
        <v>12</v>
      </c>
      <c r="N113">
        <v>2</v>
      </c>
      <c r="O113">
        <v>5</v>
      </c>
      <c r="P113">
        <v>15</v>
      </c>
      <c r="Q113" s="9">
        <v>126.667</v>
      </c>
      <c r="R113">
        <v>17</v>
      </c>
      <c r="T113" s="11">
        <f t="shared" si="25"/>
        <v>22</v>
      </c>
      <c r="U113" s="11">
        <f t="shared" si="26"/>
        <v>22</v>
      </c>
      <c r="V113" t="str">
        <f t="shared" si="27"/>
        <v>MK1 1ST</v>
      </c>
      <c r="W113" t="str">
        <f t="shared" si="28"/>
        <v>BL9 9HR</v>
      </c>
      <c r="X113" s="12">
        <v>7652</v>
      </c>
      <c r="Y113" s="15">
        <f t="shared" si="18"/>
        <v>27</v>
      </c>
    </row>
    <row r="114" spans="1:25" x14ac:dyDescent="0.2">
      <c r="A114" t="s">
        <v>3</v>
      </c>
      <c r="B114" s="1">
        <v>42640</v>
      </c>
      <c r="C114" s="2" t="str">
        <f t="shared" si="19"/>
        <v>Tue</v>
      </c>
      <c r="D114" t="s">
        <v>7</v>
      </c>
      <c r="E114" t="s">
        <v>10</v>
      </c>
      <c r="F114" t="str">
        <f t="shared" si="20"/>
        <v>E</v>
      </c>
      <c r="G114">
        <f t="shared" si="21"/>
        <v>1</v>
      </c>
      <c r="H114" t="s">
        <v>32</v>
      </c>
      <c r="I114">
        <f t="shared" si="22"/>
        <v>0</v>
      </c>
      <c r="J114">
        <f t="shared" si="29"/>
        <v>18947</v>
      </c>
      <c r="K114" s="15">
        <f t="shared" si="23"/>
        <v>827</v>
      </c>
      <c r="L114" s="15">
        <f t="shared" si="24"/>
        <v>345</v>
      </c>
      <c r="M114">
        <v>6</v>
      </c>
      <c r="N114">
        <v>14</v>
      </c>
      <c r="O114">
        <v>5</v>
      </c>
      <c r="P114">
        <v>2</v>
      </c>
      <c r="Q114" s="9">
        <v>141.09</v>
      </c>
      <c r="R114">
        <v>18</v>
      </c>
      <c r="T114" s="11">
        <f t="shared" si="25"/>
        <v>22</v>
      </c>
      <c r="U114" s="11">
        <f t="shared" si="26"/>
        <v>22</v>
      </c>
      <c r="V114" t="str">
        <f t="shared" si="27"/>
        <v>ST6 1AW</v>
      </c>
      <c r="W114" t="str">
        <f t="shared" si="28"/>
        <v>SE16 3LN</v>
      </c>
      <c r="X114" s="12">
        <v>3934</v>
      </c>
      <c r="Y114" s="15">
        <f t="shared" si="18"/>
        <v>23</v>
      </c>
    </row>
    <row r="115" spans="1:25" x14ac:dyDescent="0.2">
      <c r="A115" t="s">
        <v>3</v>
      </c>
      <c r="B115" s="1">
        <v>42640</v>
      </c>
      <c r="C115" s="2" t="str">
        <f t="shared" si="19"/>
        <v>Tue</v>
      </c>
      <c r="D115" t="s">
        <v>16</v>
      </c>
      <c r="E115" t="s">
        <v>4</v>
      </c>
      <c r="F115" t="str">
        <f t="shared" si="20"/>
        <v>E</v>
      </c>
      <c r="G115">
        <f t="shared" si="21"/>
        <v>1</v>
      </c>
      <c r="H115" t="s">
        <v>32</v>
      </c>
      <c r="I115">
        <f t="shared" si="22"/>
        <v>0</v>
      </c>
      <c r="J115">
        <f t="shared" si="29"/>
        <v>10249</v>
      </c>
      <c r="K115" s="15">
        <f t="shared" si="23"/>
        <v>912</v>
      </c>
      <c r="L115" s="15">
        <f t="shared" si="24"/>
        <v>290</v>
      </c>
      <c r="M115">
        <v>19</v>
      </c>
      <c r="N115">
        <v>3</v>
      </c>
      <c r="O115">
        <v>10</v>
      </c>
      <c r="P115">
        <v>3</v>
      </c>
      <c r="Q115" s="9">
        <v>14.87</v>
      </c>
      <c r="R115">
        <v>16</v>
      </c>
      <c r="S115" t="s">
        <v>74</v>
      </c>
      <c r="T115" s="11">
        <f t="shared" si="25"/>
        <v>17</v>
      </c>
      <c r="U115" s="11">
        <f t="shared" si="26"/>
        <v>22</v>
      </c>
      <c r="V115" t="str">
        <f t="shared" si="27"/>
        <v>OL11 5DR</v>
      </c>
      <c r="W115" t="str">
        <f t="shared" si="28"/>
        <v>BL6 6JW</v>
      </c>
      <c r="X115" s="12">
        <v>6011</v>
      </c>
      <c r="Y115" s="15">
        <f t="shared" si="18"/>
        <v>22</v>
      </c>
    </row>
    <row r="116" spans="1:25" x14ac:dyDescent="0.2">
      <c r="A116" t="s">
        <v>3</v>
      </c>
      <c r="B116" s="1">
        <v>42640</v>
      </c>
      <c r="C116" s="2" t="str">
        <f t="shared" si="19"/>
        <v>Tue</v>
      </c>
      <c r="D116" t="s">
        <v>5</v>
      </c>
      <c r="E116" t="s">
        <v>19</v>
      </c>
      <c r="F116" t="str">
        <f t="shared" si="20"/>
        <v>E</v>
      </c>
      <c r="G116">
        <f t="shared" si="21"/>
        <v>1</v>
      </c>
      <c r="H116" t="s">
        <v>32</v>
      </c>
      <c r="I116">
        <f t="shared" si="22"/>
        <v>0</v>
      </c>
      <c r="J116">
        <f t="shared" si="29"/>
        <v>32702</v>
      </c>
      <c r="K116" s="15">
        <f t="shared" si="23"/>
        <v>1159</v>
      </c>
      <c r="L116" s="15">
        <f t="shared" si="24"/>
        <v>288</v>
      </c>
      <c r="M116">
        <v>7</v>
      </c>
      <c r="N116">
        <v>9</v>
      </c>
      <c r="O116">
        <v>13</v>
      </c>
      <c r="P116">
        <v>8</v>
      </c>
      <c r="Q116" s="9">
        <v>138.51300000000001</v>
      </c>
      <c r="R116">
        <v>18</v>
      </c>
      <c r="T116" s="11">
        <f t="shared" si="25"/>
        <v>20</v>
      </c>
      <c r="U116" s="11">
        <f t="shared" si="26"/>
        <v>20</v>
      </c>
      <c r="V116" t="str">
        <f t="shared" si="27"/>
        <v>S2 4SU</v>
      </c>
      <c r="W116" t="str">
        <f t="shared" si="28"/>
        <v>BS7 0BF</v>
      </c>
      <c r="X116" s="12">
        <v>19196</v>
      </c>
      <c r="Y116" s="15">
        <f t="shared" si="18"/>
        <v>29</v>
      </c>
    </row>
    <row r="117" spans="1:25" x14ac:dyDescent="0.2">
      <c r="A117" t="s">
        <v>3</v>
      </c>
      <c r="B117" s="1">
        <v>42640</v>
      </c>
      <c r="C117" s="2" t="str">
        <f t="shared" si="19"/>
        <v>Tue</v>
      </c>
      <c r="D117" t="s">
        <v>20</v>
      </c>
      <c r="E117" t="s">
        <v>17</v>
      </c>
      <c r="F117" t="str">
        <f t="shared" si="20"/>
        <v>E</v>
      </c>
      <c r="G117">
        <f t="shared" si="21"/>
        <v>1</v>
      </c>
      <c r="H117" t="s">
        <v>32</v>
      </c>
      <c r="I117">
        <f t="shared" si="22"/>
        <v>0</v>
      </c>
      <c r="J117">
        <f t="shared" si="29"/>
        <v>9875</v>
      </c>
      <c r="K117" s="15">
        <f t="shared" si="23"/>
        <v>598</v>
      </c>
      <c r="L117" s="15">
        <f t="shared" si="24"/>
        <v>285</v>
      </c>
      <c r="M117">
        <v>21</v>
      </c>
      <c r="N117">
        <v>10</v>
      </c>
      <c r="O117">
        <v>5</v>
      </c>
      <c r="P117">
        <v>4</v>
      </c>
      <c r="Q117" s="9">
        <v>105.645</v>
      </c>
      <c r="R117">
        <v>16</v>
      </c>
      <c r="S117" t="s">
        <v>68</v>
      </c>
      <c r="T117" s="11">
        <f t="shared" si="25"/>
        <v>20</v>
      </c>
      <c r="U117" s="11">
        <f t="shared" si="26"/>
        <v>20</v>
      </c>
      <c r="V117" t="str">
        <f t="shared" si="27"/>
        <v>SY2 6ST</v>
      </c>
      <c r="W117" t="str">
        <f t="shared" si="28"/>
        <v>PE2 8AL</v>
      </c>
      <c r="X117" s="12">
        <v>4314</v>
      </c>
      <c r="Y117" s="15">
        <f t="shared" si="18"/>
        <v>22</v>
      </c>
    </row>
    <row r="118" spans="1:25" x14ac:dyDescent="0.2">
      <c r="A118" t="s">
        <v>3</v>
      </c>
      <c r="B118" s="1">
        <v>42640</v>
      </c>
      <c r="C118" s="2" t="str">
        <f t="shared" si="19"/>
        <v>Tue</v>
      </c>
      <c r="D118" t="s">
        <v>22</v>
      </c>
      <c r="E118" t="s">
        <v>14</v>
      </c>
      <c r="F118" t="str">
        <f t="shared" si="20"/>
        <v>E</v>
      </c>
      <c r="G118">
        <f t="shared" si="21"/>
        <v>1</v>
      </c>
      <c r="H118" t="s">
        <v>32</v>
      </c>
      <c r="I118">
        <f t="shared" si="22"/>
        <v>0</v>
      </c>
      <c r="J118">
        <f t="shared" si="29"/>
        <v>12392</v>
      </c>
      <c r="K118" s="15">
        <f t="shared" si="23"/>
        <v>1000</v>
      </c>
      <c r="L118" s="15">
        <f t="shared" si="24"/>
        <v>395</v>
      </c>
      <c r="M118">
        <v>23</v>
      </c>
      <c r="N118">
        <v>13</v>
      </c>
      <c r="O118">
        <v>7</v>
      </c>
      <c r="P118">
        <v>8</v>
      </c>
      <c r="Q118" s="9">
        <v>82.947000000000003</v>
      </c>
      <c r="R118">
        <v>12</v>
      </c>
      <c r="T118" s="11">
        <f t="shared" si="25"/>
        <v>25</v>
      </c>
      <c r="U118" s="11">
        <f t="shared" si="26"/>
        <v>22</v>
      </c>
      <c r="V118" t="str">
        <f t="shared" si="27"/>
        <v>SS2 6NQ</v>
      </c>
      <c r="W118" t="str">
        <f t="shared" si="28"/>
        <v>OX4 4XP</v>
      </c>
      <c r="X118" s="12">
        <v>5593</v>
      </c>
      <c r="Y118" s="15">
        <f t="shared" si="18"/>
        <v>25</v>
      </c>
    </row>
    <row r="119" spans="1:25" x14ac:dyDescent="0.2">
      <c r="A119" t="s">
        <v>3</v>
      </c>
      <c r="B119" s="1">
        <v>42640</v>
      </c>
      <c r="C119" s="2" t="str">
        <f t="shared" si="19"/>
        <v>Tue</v>
      </c>
      <c r="D119" t="s">
        <v>24</v>
      </c>
      <c r="E119" t="s">
        <v>12</v>
      </c>
      <c r="F119" t="str">
        <f t="shared" si="20"/>
        <v>E</v>
      </c>
      <c r="G119">
        <f t="shared" si="21"/>
        <v>1</v>
      </c>
      <c r="H119" t="s">
        <v>32</v>
      </c>
      <c r="I119">
        <f t="shared" si="22"/>
        <v>0</v>
      </c>
      <c r="J119">
        <f t="shared" si="29"/>
        <v>15728</v>
      </c>
      <c r="K119" s="15">
        <f t="shared" si="23"/>
        <v>843</v>
      </c>
      <c r="L119" s="15">
        <f t="shared" si="24"/>
        <v>345</v>
      </c>
      <c r="M119">
        <v>17</v>
      </c>
      <c r="N119">
        <v>5</v>
      </c>
      <c r="O119">
        <v>3</v>
      </c>
      <c r="P119">
        <v>12</v>
      </c>
      <c r="Q119" s="9">
        <v>58.548000000000002</v>
      </c>
      <c r="R119">
        <v>16</v>
      </c>
      <c r="T119" s="11">
        <f t="shared" si="25"/>
        <v>19</v>
      </c>
      <c r="U119" s="11">
        <f t="shared" si="26"/>
        <v>19</v>
      </c>
      <c r="V119" t="str">
        <f t="shared" si="27"/>
        <v>SN1 2ED</v>
      </c>
      <c r="W119" t="str">
        <f t="shared" si="28"/>
        <v>NN5 5QA</v>
      </c>
      <c r="X119" s="12">
        <v>6590</v>
      </c>
      <c r="Y119" s="15">
        <f t="shared" si="18"/>
        <v>25</v>
      </c>
    </row>
    <row r="120" spans="1:25" x14ac:dyDescent="0.2">
      <c r="A120" t="s">
        <v>3</v>
      </c>
      <c r="B120" s="1">
        <v>42640</v>
      </c>
      <c r="C120" s="2" t="str">
        <f t="shared" si="19"/>
        <v>Tue</v>
      </c>
      <c r="D120" t="s">
        <v>26</v>
      </c>
      <c r="E120" t="s">
        <v>18</v>
      </c>
      <c r="F120" t="str">
        <f t="shared" si="20"/>
        <v>E</v>
      </c>
      <c r="G120">
        <f t="shared" si="21"/>
        <v>1</v>
      </c>
      <c r="H120" t="s">
        <v>32</v>
      </c>
      <c r="I120">
        <f t="shared" si="22"/>
        <v>0</v>
      </c>
      <c r="J120">
        <f t="shared" si="29"/>
        <v>11300</v>
      </c>
      <c r="K120" s="15">
        <f t="shared" si="23"/>
        <v>508</v>
      </c>
      <c r="L120" s="15">
        <f t="shared" si="24"/>
        <v>253</v>
      </c>
      <c r="M120">
        <v>18</v>
      </c>
      <c r="N120">
        <v>1</v>
      </c>
      <c r="O120">
        <v>5</v>
      </c>
      <c r="P120">
        <v>11</v>
      </c>
      <c r="Q120" s="9">
        <v>88.801000000000002</v>
      </c>
      <c r="R120">
        <v>16</v>
      </c>
      <c r="T120" s="11">
        <f t="shared" si="25"/>
        <v>20</v>
      </c>
      <c r="U120" s="11">
        <f t="shared" si="26"/>
        <v>20</v>
      </c>
      <c r="V120" t="str">
        <f t="shared" si="27"/>
        <v>WS1 4SA</v>
      </c>
      <c r="W120" t="str">
        <f t="shared" si="28"/>
        <v>DN15 8TD</v>
      </c>
      <c r="X120" s="12">
        <v>3970</v>
      </c>
      <c r="Y120" s="15">
        <f t="shared" si="18"/>
        <v>25.5</v>
      </c>
    </row>
    <row r="121" spans="1:25" x14ac:dyDescent="0.2">
      <c r="A121" t="s">
        <v>3</v>
      </c>
      <c r="B121" s="1">
        <v>42641</v>
      </c>
      <c r="C121" s="2" t="str">
        <f t="shared" si="19"/>
        <v>Wed</v>
      </c>
      <c r="D121" t="s">
        <v>25</v>
      </c>
      <c r="E121" t="s">
        <v>27</v>
      </c>
      <c r="F121" t="str">
        <f t="shared" si="20"/>
        <v>E</v>
      </c>
      <c r="G121">
        <f t="shared" si="21"/>
        <v>1</v>
      </c>
      <c r="H121" t="s">
        <v>32</v>
      </c>
      <c r="I121">
        <f t="shared" si="22"/>
        <v>0</v>
      </c>
      <c r="J121">
        <f t="shared" si="29"/>
        <v>32609</v>
      </c>
      <c r="K121" s="15">
        <f t="shared" si="23"/>
        <v>622</v>
      </c>
      <c r="L121" s="15">
        <f t="shared" si="24"/>
        <v>299</v>
      </c>
      <c r="M121">
        <v>24</v>
      </c>
      <c r="N121">
        <v>21</v>
      </c>
      <c r="O121">
        <v>3</v>
      </c>
      <c r="P121">
        <v>8</v>
      </c>
      <c r="Q121" s="9">
        <v>88.808000000000007</v>
      </c>
      <c r="R121">
        <v>18</v>
      </c>
      <c r="T121" s="11">
        <f t="shared" si="25"/>
        <v>22</v>
      </c>
      <c r="U121" s="11">
        <f t="shared" si="26"/>
        <v>22</v>
      </c>
      <c r="V121" t="str">
        <f t="shared" si="27"/>
        <v>CV6 6GE</v>
      </c>
      <c r="W121" t="str">
        <f t="shared" si="28"/>
        <v>KT1 3PB</v>
      </c>
      <c r="X121" s="12">
        <v>8030</v>
      </c>
      <c r="Y121" s="15">
        <f t="shared" si="18"/>
        <v>26</v>
      </c>
    </row>
    <row r="122" spans="1:25" x14ac:dyDescent="0.2">
      <c r="A122" t="s">
        <v>3</v>
      </c>
      <c r="B122" s="1">
        <v>42644</v>
      </c>
      <c r="C122" s="2" t="str">
        <f t="shared" si="19"/>
        <v>Sat</v>
      </c>
      <c r="D122" t="s">
        <v>27</v>
      </c>
      <c r="E122" t="s">
        <v>23</v>
      </c>
      <c r="F122" t="str">
        <f t="shared" si="20"/>
        <v>D</v>
      </c>
      <c r="G122">
        <f t="shared" si="21"/>
        <v>0</v>
      </c>
      <c r="H122" t="s">
        <v>32</v>
      </c>
      <c r="I122">
        <f t="shared" si="22"/>
        <v>0</v>
      </c>
      <c r="J122">
        <f t="shared" si="29"/>
        <v>4850</v>
      </c>
      <c r="K122" s="15">
        <f t="shared" si="23"/>
        <v>533</v>
      </c>
      <c r="L122" s="15">
        <f t="shared" si="24"/>
        <v>260</v>
      </c>
      <c r="M122">
        <v>20</v>
      </c>
      <c r="N122">
        <v>8</v>
      </c>
      <c r="O122">
        <v>8</v>
      </c>
      <c r="P122">
        <v>5</v>
      </c>
      <c r="Q122" s="9">
        <v>36.334000000000003</v>
      </c>
      <c r="R122">
        <v>14</v>
      </c>
      <c r="T122" s="11">
        <f t="shared" si="25"/>
        <v>17</v>
      </c>
      <c r="U122" s="11">
        <f t="shared" si="26"/>
        <v>17</v>
      </c>
      <c r="V122" t="str">
        <f t="shared" si="27"/>
        <v>KT1 3PB</v>
      </c>
      <c r="W122" t="str">
        <f t="shared" si="28"/>
        <v>ME7 4DD</v>
      </c>
      <c r="X122" s="12">
        <v>4653</v>
      </c>
      <c r="Y122" s="15">
        <f t="shared" si="18"/>
        <v>29</v>
      </c>
    </row>
    <row r="123" spans="1:25" x14ac:dyDescent="0.2">
      <c r="A123" t="s">
        <v>3</v>
      </c>
      <c r="B123" s="1">
        <v>42644</v>
      </c>
      <c r="C123" s="2" t="str">
        <f t="shared" si="19"/>
        <v>Sat</v>
      </c>
      <c r="D123" t="s">
        <v>4</v>
      </c>
      <c r="E123" t="s">
        <v>14</v>
      </c>
      <c r="F123" t="str">
        <f t="shared" si="20"/>
        <v>D</v>
      </c>
      <c r="G123">
        <f t="shared" si="21"/>
        <v>0</v>
      </c>
      <c r="H123" t="s">
        <v>32</v>
      </c>
      <c r="I123">
        <f t="shared" si="22"/>
        <v>0</v>
      </c>
      <c r="J123">
        <f t="shared" si="29"/>
        <v>28723</v>
      </c>
      <c r="K123" s="15">
        <f t="shared" si="23"/>
        <v>1000</v>
      </c>
      <c r="L123" s="15">
        <f t="shared" si="24"/>
        <v>280</v>
      </c>
      <c r="M123">
        <v>7</v>
      </c>
      <c r="N123">
        <v>16</v>
      </c>
      <c r="O123">
        <v>2</v>
      </c>
      <c r="P123">
        <v>8</v>
      </c>
      <c r="Q123" s="9">
        <v>140.35599999999999</v>
      </c>
      <c r="R123">
        <v>11</v>
      </c>
      <c r="S123" t="s">
        <v>70</v>
      </c>
      <c r="T123" s="11">
        <f t="shared" si="25"/>
        <v>15</v>
      </c>
      <c r="U123" s="11">
        <f t="shared" si="26"/>
        <v>15</v>
      </c>
      <c r="V123" t="str">
        <f t="shared" si="27"/>
        <v>BL6 6JW</v>
      </c>
      <c r="W123" t="str">
        <f t="shared" si="28"/>
        <v>OX4 4XP</v>
      </c>
      <c r="X123" s="12">
        <v>14207</v>
      </c>
      <c r="Y123" s="15">
        <f t="shared" si="18"/>
        <v>30</v>
      </c>
    </row>
    <row r="124" spans="1:25" x14ac:dyDescent="0.2">
      <c r="A124" t="s">
        <v>3</v>
      </c>
      <c r="B124" s="1">
        <v>42644</v>
      </c>
      <c r="C124" s="2" t="str">
        <f t="shared" si="19"/>
        <v>Sat</v>
      </c>
      <c r="D124" t="s">
        <v>8</v>
      </c>
      <c r="E124" t="s">
        <v>18</v>
      </c>
      <c r="F124" t="str">
        <f t="shared" si="20"/>
        <v>D</v>
      </c>
      <c r="G124">
        <f t="shared" si="21"/>
        <v>0</v>
      </c>
      <c r="H124" t="s">
        <v>32</v>
      </c>
      <c r="I124">
        <f t="shared" si="22"/>
        <v>0</v>
      </c>
      <c r="J124">
        <f t="shared" si="29"/>
        <v>11841</v>
      </c>
      <c r="K124" s="15">
        <f t="shared" si="23"/>
        <v>508</v>
      </c>
      <c r="L124" s="15">
        <f t="shared" si="24"/>
        <v>275</v>
      </c>
      <c r="M124">
        <v>2</v>
      </c>
      <c r="N124">
        <v>1</v>
      </c>
      <c r="O124">
        <v>12</v>
      </c>
      <c r="P124">
        <v>11</v>
      </c>
      <c r="Q124" s="9">
        <v>65.659000000000006</v>
      </c>
      <c r="R124">
        <v>11</v>
      </c>
      <c r="S124" t="s">
        <v>70</v>
      </c>
      <c r="T124" s="11">
        <f t="shared" si="25"/>
        <v>18</v>
      </c>
      <c r="U124" s="11">
        <f t="shared" si="26"/>
        <v>18</v>
      </c>
      <c r="V124" t="str">
        <f t="shared" si="27"/>
        <v>BL9 9HR</v>
      </c>
      <c r="W124" t="str">
        <f t="shared" si="28"/>
        <v>DN15 8TD</v>
      </c>
      <c r="X124" s="12">
        <v>5355</v>
      </c>
      <c r="Y124" s="15">
        <f t="shared" si="18"/>
        <v>22</v>
      </c>
    </row>
    <row r="125" spans="1:25" x14ac:dyDescent="0.2">
      <c r="A125" t="s">
        <v>3</v>
      </c>
      <c r="B125" s="1">
        <v>42644</v>
      </c>
      <c r="C125" s="2" t="str">
        <f t="shared" si="19"/>
        <v>Sat</v>
      </c>
      <c r="D125" t="s">
        <v>9</v>
      </c>
      <c r="E125" t="s">
        <v>16</v>
      </c>
      <c r="F125" t="str">
        <f t="shared" si="20"/>
        <v>D</v>
      </c>
      <c r="G125">
        <f t="shared" si="21"/>
        <v>0</v>
      </c>
      <c r="H125" t="s">
        <v>32</v>
      </c>
      <c r="I125">
        <f t="shared" si="22"/>
        <v>0</v>
      </c>
      <c r="J125">
        <f t="shared" si="29"/>
        <v>26875</v>
      </c>
      <c r="K125" s="15">
        <f t="shared" si="23"/>
        <v>497</v>
      </c>
      <c r="L125" s="15">
        <f t="shared" si="24"/>
        <v>175</v>
      </c>
      <c r="M125">
        <v>12</v>
      </c>
      <c r="N125">
        <v>15</v>
      </c>
      <c r="O125">
        <v>3</v>
      </c>
      <c r="P125">
        <v>13</v>
      </c>
      <c r="Q125" s="9">
        <v>174.512</v>
      </c>
      <c r="R125">
        <v>13</v>
      </c>
      <c r="T125" s="11">
        <f t="shared" si="25"/>
        <v>20</v>
      </c>
      <c r="U125" s="11">
        <f t="shared" si="26"/>
        <v>20</v>
      </c>
      <c r="V125" t="str">
        <f t="shared" si="27"/>
        <v>SE7 8BL</v>
      </c>
      <c r="W125" t="str">
        <f t="shared" si="28"/>
        <v>OL11 5DR</v>
      </c>
      <c r="X125" s="12">
        <v>14460</v>
      </c>
      <c r="Y125" s="15">
        <f t="shared" si="18"/>
        <v>35</v>
      </c>
    </row>
    <row r="126" spans="1:25" x14ac:dyDescent="0.2">
      <c r="A126" t="s">
        <v>3</v>
      </c>
      <c r="B126" s="1">
        <v>42644</v>
      </c>
      <c r="C126" s="2" t="str">
        <f t="shared" si="19"/>
        <v>Sat</v>
      </c>
      <c r="D126" t="s">
        <v>15</v>
      </c>
      <c r="E126" t="s">
        <v>6</v>
      </c>
      <c r="F126" t="str">
        <f t="shared" si="20"/>
        <v>D</v>
      </c>
      <c r="G126">
        <f t="shared" si="21"/>
        <v>0</v>
      </c>
      <c r="H126" t="s">
        <v>32</v>
      </c>
      <c r="I126">
        <f t="shared" si="22"/>
        <v>0</v>
      </c>
      <c r="J126">
        <f t="shared" si="29"/>
        <v>10504</v>
      </c>
      <c r="K126" s="15">
        <f t="shared" si="23"/>
        <v>1437</v>
      </c>
      <c r="L126" s="15">
        <f t="shared" si="24"/>
        <v>345</v>
      </c>
      <c r="M126">
        <v>11</v>
      </c>
      <c r="N126">
        <v>3</v>
      </c>
      <c r="O126">
        <v>5</v>
      </c>
      <c r="P126">
        <v>9</v>
      </c>
      <c r="Q126" s="9">
        <v>40.448999999999998</v>
      </c>
      <c r="R126">
        <v>12</v>
      </c>
      <c r="T126" s="11">
        <f t="shared" si="25"/>
        <v>22</v>
      </c>
      <c r="U126" s="11">
        <f t="shared" si="26"/>
        <v>20</v>
      </c>
      <c r="V126" t="str">
        <f t="shared" si="27"/>
        <v>S41 8NZ</v>
      </c>
      <c r="W126" t="str">
        <f t="shared" si="28"/>
        <v>BD8 7DY</v>
      </c>
      <c r="X126" s="12">
        <v>6997</v>
      </c>
      <c r="Y126" s="15">
        <f t="shared" si="18"/>
        <v>26</v>
      </c>
    </row>
    <row r="127" spans="1:25" x14ac:dyDescent="0.2">
      <c r="A127" t="s">
        <v>3</v>
      </c>
      <c r="B127" s="1">
        <v>42644</v>
      </c>
      <c r="C127" s="2" t="str">
        <f t="shared" si="19"/>
        <v>Sat</v>
      </c>
      <c r="D127" t="s">
        <v>13</v>
      </c>
      <c r="E127" t="s">
        <v>5</v>
      </c>
      <c r="F127" t="str">
        <f t="shared" si="20"/>
        <v>D</v>
      </c>
      <c r="G127">
        <f t="shared" si="21"/>
        <v>0</v>
      </c>
      <c r="H127" t="s">
        <v>32</v>
      </c>
      <c r="I127">
        <f t="shared" si="22"/>
        <v>0</v>
      </c>
      <c r="J127">
        <f t="shared" si="29"/>
        <v>5327</v>
      </c>
      <c r="K127" s="15">
        <f t="shared" si="23"/>
        <v>1622</v>
      </c>
      <c r="L127" s="15">
        <f t="shared" si="24"/>
        <v>210</v>
      </c>
      <c r="M127">
        <v>13</v>
      </c>
      <c r="N127">
        <v>6</v>
      </c>
      <c r="O127">
        <v>2</v>
      </c>
      <c r="P127">
        <v>11</v>
      </c>
      <c r="Q127" s="9">
        <v>74.05</v>
      </c>
      <c r="R127">
        <v>12</v>
      </c>
      <c r="T127" s="11">
        <f t="shared" si="25"/>
        <v>21.5</v>
      </c>
      <c r="U127" s="11">
        <f t="shared" si="26"/>
        <v>21.5</v>
      </c>
      <c r="V127" t="str">
        <f t="shared" si="27"/>
        <v>FY7 6TX</v>
      </c>
      <c r="W127" t="str">
        <f t="shared" si="28"/>
        <v>S2 4SU</v>
      </c>
      <c r="X127" s="12">
        <v>4004</v>
      </c>
      <c r="Y127" s="15">
        <f t="shared" si="18"/>
        <v>23.5</v>
      </c>
    </row>
    <row r="128" spans="1:25" x14ac:dyDescent="0.2">
      <c r="A128" t="s">
        <v>3</v>
      </c>
      <c r="B128" s="1">
        <v>42644</v>
      </c>
      <c r="C128" s="2" t="str">
        <f t="shared" si="19"/>
        <v>Sat</v>
      </c>
      <c r="D128" t="s">
        <v>12</v>
      </c>
      <c r="E128" t="s">
        <v>19</v>
      </c>
      <c r="F128" t="str">
        <f t="shared" si="20"/>
        <v>D</v>
      </c>
      <c r="G128">
        <f t="shared" si="21"/>
        <v>0</v>
      </c>
      <c r="H128" t="s">
        <v>32</v>
      </c>
      <c r="I128">
        <f t="shared" si="22"/>
        <v>0</v>
      </c>
      <c r="J128">
        <f t="shared" si="29"/>
        <v>7653</v>
      </c>
      <c r="K128" s="15">
        <f t="shared" si="23"/>
        <v>1159</v>
      </c>
      <c r="L128" s="15">
        <f t="shared" si="24"/>
        <v>249</v>
      </c>
      <c r="M128">
        <v>4</v>
      </c>
      <c r="N128">
        <v>10</v>
      </c>
      <c r="O128">
        <v>9</v>
      </c>
      <c r="P128">
        <v>10</v>
      </c>
      <c r="Q128" s="9">
        <v>87.522999999999996</v>
      </c>
      <c r="R128">
        <v>16</v>
      </c>
      <c r="T128" s="11">
        <f t="shared" si="25"/>
        <v>24</v>
      </c>
      <c r="U128" s="11">
        <f t="shared" si="26"/>
        <v>24</v>
      </c>
      <c r="V128" t="str">
        <f t="shared" si="27"/>
        <v>NN5 5QA</v>
      </c>
      <c r="W128" t="str">
        <f t="shared" si="28"/>
        <v>BS7 0BF</v>
      </c>
      <c r="X128" s="12">
        <v>6642</v>
      </c>
      <c r="Y128" s="15">
        <f t="shared" si="18"/>
        <v>24</v>
      </c>
    </row>
    <row r="129" spans="1:25" x14ac:dyDescent="0.2">
      <c r="A129" t="s">
        <v>3</v>
      </c>
      <c r="B129" s="1">
        <v>42644</v>
      </c>
      <c r="C129" s="2" t="str">
        <f t="shared" si="19"/>
        <v>Sat</v>
      </c>
      <c r="D129" t="s">
        <v>11</v>
      </c>
      <c r="E129" t="s">
        <v>21</v>
      </c>
      <c r="F129" t="str">
        <f t="shared" si="20"/>
        <v>D</v>
      </c>
      <c r="G129">
        <f t="shared" si="21"/>
        <v>0</v>
      </c>
      <c r="H129" t="s">
        <v>32</v>
      </c>
      <c r="I129">
        <f t="shared" si="22"/>
        <v>0</v>
      </c>
      <c r="J129">
        <f t="shared" si="29"/>
        <v>13559</v>
      </c>
      <c r="K129" s="15">
        <f t="shared" si="23"/>
        <v>596</v>
      </c>
      <c r="L129" s="15">
        <f t="shared" si="24"/>
        <v>300</v>
      </c>
      <c r="M129">
        <v>23</v>
      </c>
      <c r="N129">
        <v>19</v>
      </c>
      <c r="O129">
        <v>3</v>
      </c>
      <c r="P129">
        <v>8</v>
      </c>
      <c r="Q129" s="9">
        <v>121.607</v>
      </c>
      <c r="R129">
        <v>14</v>
      </c>
      <c r="T129" s="11">
        <f t="shared" si="25"/>
        <v>22</v>
      </c>
      <c r="U129" s="11">
        <f t="shared" si="26"/>
        <v>24</v>
      </c>
      <c r="V129" t="str">
        <f t="shared" si="27"/>
        <v>OL1 2PA</v>
      </c>
      <c r="W129" t="str">
        <f t="shared" si="28"/>
        <v>MK1 1ST</v>
      </c>
      <c r="X129" s="12">
        <v>3273</v>
      </c>
      <c r="Y129" s="15">
        <f t="shared" si="18"/>
        <v>24</v>
      </c>
    </row>
    <row r="130" spans="1:25" x14ac:dyDescent="0.2">
      <c r="A130" t="s">
        <v>3</v>
      </c>
      <c r="B130" s="1">
        <v>42644</v>
      </c>
      <c r="C130" s="2" t="str">
        <f t="shared" si="19"/>
        <v>Sat</v>
      </c>
      <c r="D130" t="s">
        <v>7</v>
      </c>
      <c r="E130" t="s">
        <v>25</v>
      </c>
      <c r="F130" t="str">
        <f t="shared" si="20"/>
        <v>D</v>
      </c>
      <c r="G130">
        <f t="shared" si="21"/>
        <v>0</v>
      </c>
      <c r="H130" t="s">
        <v>32</v>
      </c>
      <c r="I130">
        <f t="shared" si="22"/>
        <v>0</v>
      </c>
      <c r="J130">
        <f t="shared" si="29"/>
        <v>18947</v>
      </c>
      <c r="K130" s="15">
        <f t="shared" si="23"/>
        <v>1280</v>
      </c>
      <c r="L130" s="15">
        <f t="shared" si="24"/>
        <v>345</v>
      </c>
      <c r="M130">
        <v>5</v>
      </c>
      <c r="N130">
        <v>24</v>
      </c>
      <c r="O130">
        <v>7</v>
      </c>
      <c r="P130">
        <v>6</v>
      </c>
      <c r="Q130" s="9">
        <v>50.79</v>
      </c>
      <c r="R130">
        <v>14</v>
      </c>
      <c r="T130" s="11">
        <f t="shared" si="25"/>
        <v>22</v>
      </c>
      <c r="U130" s="11">
        <f t="shared" si="26"/>
        <v>22</v>
      </c>
      <c r="V130" t="str">
        <f t="shared" si="27"/>
        <v>ST6 1AW</v>
      </c>
      <c r="W130" t="str">
        <f t="shared" si="28"/>
        <v>CV6 6GE</v>
      </c>
      <c r="X130" s="12">
        <v>5605</v>
      </c>
      <c r="Y130" s="15">
        <f t="shared" ref="Y130:Y193" si="30">IF(D130="AFC Wimbledon",29,IF(D130="Bolton",30,IF(D130="Bury",22,IF(D130="Bradford",25,IF(D130="Bristol Rvs",26,IF(D130="Charlton",35,IF(D130="Chesterfield",26,IF(D130="Coventry",26,IF(D130="Gillingham",28,IF(D130="Millwall",30,IF(D130="Milton Keynes Dons",27,IF(D130="Northampton",24,IF(D130="Oldham",24,IF(D130="Oxford",24,IF(D130="Peterboro",26,IF(D130="Port Vale",23,IF(D130="Rochdale",22,IF(D130="Scunthorpe",23,IF(D130="Sheffield United",29,IF(D130="Southend",25,IF(D130="Shrewsbury",22,IF(D130="Swindon",25,IF(D130="Walsall",25.5,IF(D130="Fleetwood Town",23.5,"Unknown"))))))))))))))))))))))))</f>
        <v>23</v>
      </c>
    </row>
    <row r="131" spans="1:25" x14ac:dyDescent="0.2">
      <c r="A131" t="s">
        <v>3</v>
      </c>
      <c r="B131" s="1">
        <v>42644</v>
      </c>
      <c r="C131" s="2" t="str">
        <f t="shared" ref="C131:C194" si="31">TEXT(B131,"ddd")</f>
        <v>Sat</v>
      </c>
      <c r="D131" t="s">
        <v>20</v>
      </c>
      <c r="E131" t="s">
        <v>24</v>
      </c>
      <c r="F131" t="str">
        <f t="shared" ref="F131:F194" si="32">IF(C131="Sat","D",IF(C131="Sun","D","E"))</f>
        <v>D</v>
      </c>
      <c r="G131">
        <f t="shared" ref="G131:G194" si="33">IF(F131="D",0,1)</f>
        <v>0</v>
      </c>
      <c r="H131" t="s">
        <v>32</v>
      </c>
      <c r="I131">
        <f t="shared" ref="I131:I194" si="34">IF(H131="N",0,1)</f>
        <v>0</v>
      </c>
      <c r="J131">
        <f t="shared" si="29"/>
        <v>9875</v>
      </c>
      <c r="K131" s="15">
        <f t="shared" ref="K131:K194" si="35">IF(E131="AFC Wimbledon",622,IF(E131="Bolton",912,IF(E131="Bury",608,IF(E131="Bradford",1437,IF(E131="Bristol Rvs",1159,IF(E131="Charlton",680,IF(E131="Chesterfield",583,IF(E131="Coventry",1280,IF(E131="Gillingham",533,IF(E131="Millwall",827,IF(E131="Milton Keynes Dons",596,IF(E131="Northampton",843,IF(E131="Oldham",729,IF(E131="Oxford",1000,IF(E131="Peterboro",598,IF(E131="Port Vale",697,IF(E131="Rochdale",497,IF(E131="Scunthorpe",508,IF(E131="Sheffield United",1622,IF(E131="Southend",635,IF(E131="Shrewsbury",438,IF(E131="Swindon",503,IF(E131="Walsall",792,IF(E131="Fleetwood Town",210,"Unknown"))))))))))))))))))))))))</f>
        <v>503</v>
      </c>
      <c r="L131" s="15">
        <f t="shared" ref="L131:L194" si="36">IF(D131="AFC Wimbledon",260,IF(D131="Bolton",280,IF(D131="Bury",275,IF(D131="Bradford",149,IF(D131="Bristol Rvs",260,IF(D131="Charlton",175,IF(D131="Chesterfield",345,IF(D131="Coventry",299,IF(D131="Gillingham",285,IF(D131="Millwall",333,IF(D131="Milton Keynes Dons",312,IF(D131="Northampton",249,IF(D131="Oldham",300,IF(D131="Oxford",290,IF(D131="Peterboro",295,IF(D131="Port Vale",345,IF(D131="Rochdale",290,IF(D131="Scunthorpe",288,IF(D131="Sheffield United",288,IF(D131="Southend",395,IF(D131="Shrewsbury",285,IF(D131="Swindon",345,IF(D131="Walsall",253,IF(D131="Fleetwood Town",210,"Unknown"))))))))))))))))))))))))</f>
        <v>285</v>
      </c>
      <c r="M131">
        <v>22</v>
      </c>
      <c r="N131">
        <v>18</v>
      </c>
      <c r="O131">
        <v>3</v>
      </c>
      <c r="P131">
        <v>4</v>
      </c>
      <c r="Q131" s="9">
        <v>88.135000000000005</v>
      </c>
      <c r="R131">
        <v>8</v>
      </c>
      <c r="S131" t="s">
        <v>75</v>
      </c>
      <c r="T131" s="11">
        <f t="shared" ref="T131:T194" si="37">IF(D131="AFC Wimbledon",17,IF(D131="Bolton",15,IF(D131="Bury",18,IF(D131="Bradford",25,IF(D131="Bristol Rvs",18,IF(D131="Charlton",20,IF(D131="Chesterfield",22,IF(D131="Coventry",22,IF(D131="Gillingham",12,IF(D131="Millwall",22,IF(D131="Milton Keynes Dons",22,IF(D131="Northampton",24,IF(D131="Oldham",22,IF(D131="Oxford",20,IF(D131="Peterboro",21,IF(D131="Port Vale",22,IF(D131="Rochdale",17,IF(D131="Scunthorpe",18,IF(D131="Sheffield United",20,IF(D131="Southend",25,IF(D131="Shrewsbury",20,IF(D131="Swindon",19,IF(D131="Walsall",20,IF(D131="Fleetwood Town",21.5,"Unknown"))))))))))))))))))))))))</f>
        <v>20</v>
      </c>
      <c r="U131" s="11">
        <f t="shared" ref="U131:U194" si="38">IF(D131="AFC Wimbledon",17,IF(D131="Bolton",15,IF(D131="Bury",18,IF(D131="Bradford",20,IF(D131="Bristol Rvs",16,IF(D131="Charlton",20,IF(D131="Chesterfield",20,IF(D131="Coventry",22,IF(D131="Gillingham",10,IF(D131="Millwall",23,IF(D131="Milton Keynes Dons",22,IF(D131="Northampton",24,IF(D131="Oldham",24,IF(D131="Oxford",21,IF(D131="Peterboro",20,IF(D131="Port Vale",22,IF(D131="Rochdale",22,IF(D131="Scunthorpe",22,IF(D131="Sheffield United",20,IF(D131="Southend",22,IF(D131="Shrewsbury",20,IF(D131="Swindon",19,IF(D131="Walsall",20,IF(D131="Fleetwood Town",21.5,"Unknown"))))))))))))))))))))))))</f>
        <v>20</v>
      </c>
      <c r="V131" t="str">
        <f t="shared" si="27"/>
        <v>SY2 6ST</v>
      </c>
      <c r="W131" t="str">
        <f t="shared" si="28"/>
        <v>SN1 2ED</v>
      </c>
      <c r="X131" s="12">
        <v>5103</v>
      </c>
      <c r="Y131" s="15">
        <f t="shared" si="30"/>
        <v>22</v>
      </c>
    </row>
    <row r="132" spans="1:25" x14ac:dyDescent="0.2">
      <c r="A132" t="s">
        <v>3</v>
      </c>
      <c r="B132" s="1">
        <v>42644</v>
      </c>
      <c r="C132" s="2" t="str">
        <f t="shared" si="31"/>
        <v>Sat</v>
      </c>
      <c r="D132" t="s">
        <v>22</v>
      </c>
      <c r="E132" t="s">
        <v>17</v>
      </c>
      <c r="F132" t="str">
        <f t="shared" si="32"/>
        <v>D</v>
      </c>
      <c r="G132">
        <f t="shared" si="33"/>
        <v>0</v>
      </c>
      <c r="H132" t="s">
        <v>32</v>
      </c>
      <c r="I132">
        <f t="shared" si="34"/>
        <v>0</v>
      </c>
      <c r="J132">
        <f t="shared" si="29"/>
        <v>12392</v>
      </c>
      <c r="K132" s="15">
        <f t="shared" si="35"/>
        <v>598</v>
      </c>
      <c r="L132" s="15">
        <f t="shared" si="36"/>
        <v>395</v>
      </c>
      <c r="M132">
        <v>19</v>
      </c>
      <c r="N132">
        <v>9</v>
      </c>
      <c r="O132">
        <v>7</v>
      </c>
      <c r="P132">
        <v>4</v>
      </c>
      <c r="Q132" s="9">
        <v>80.902000000000001</v>
      </c>
      <c r="R132">
        <v>9</v>
      </c>
      <c r="T132" s="11">
        <f t="shared" si="37"/>
        <v>25</v>
      </c>
      <c r="U132" s="11">
        <f t="shared" si="38"/>
        <v>22</v>
      </c>
      <c r="V132" t="str">
        <f t="shared" si="27"/>
        <v>SS2 6NQ</v>
      </c>
      <c r="W132" t="str">
        <f t="shared" si="28"/>
        <v>PE2 8AL</v>
      </c>
      <c r="X132" s="12">
        <v>6417</v>
      </c>
      <c r="Y132" s="15">
        <f t="shared" si="30"/>
        <v>25</v>
      </c>
    </row>
    <row r="133" spans="1:25" x14ac:dyDescent="0.2">
      <c r="A133" t="s">
        <v>3</v>
      </c>
      <c r="B133" s="1">
        <v>42644</v>
      </c>
      <c r="C133" s="2" t="str">
        <f t="shared" si="31"/>
        <v>Sat</v>
      </c>
      <c r="D133" t="s">
        <v>26</v>
      </c>
      <c r="E133" t="s">
        <v>10</v>
      </c>
      <c r="F133" t="str">
        <f t="shared" si="32"/>
        <v>D</v>
      </c>
      <c r="G133">
        <f t="shared" si="33"/>
        <v>0</v>
      </c>
      <c r="H133" t="s">
        <v>32</v>
      </c>
      <c r="I133">
        <f t="shared" si="34"/>
        <v>0</v>
      </c>
      <c r="J133">
        <f t="shared" si="29"/>
        <v>11300</v>
      </c>
      <c r="K133" s="15">
        <f t="shared" si="35"/>
        <v>827</v>
      </c>
      <c r="L133" s="15">
        <f t="shared" si="36"/>
        <v>253</v>
      </c>
      <c r="M133">
        <v>21</v>
      </c>
      <c r="N133">
        <v>17</v>
      </c>
      <c r="O133">
        <v>8</v>
      </c>
      <c r="P133">
        <v>1</v>
      </c>
      <c r="Q133" s="9">
        <v>111.29</v>
      </c>
      <c r="R133">
        <v>9</v>
      </c>
      <c r="T133" s="11">
        <f t="shared" si="37"/>
        <v>20</v>
      </c>
      <c r="U133" s="11">
        <f t="shared" si="38"/>
        <v>20</v>
      </c>
      <c r="V133" t="str">
        <f t="shared" si="27"/>
        <v>WS1 4SA</v>
      </c>
      <c r="W133" t="str">
        <f t="shared" si="28"/>
        <v>SE16 3LN</v>
      </c>
      <c r="X133" s="12">
        <v>4474</v>
      </c>
      <c r="Y133" s="15">
        <f t="shared" si="30"/>
        <v>25.5</v>
      </c>
    </row>
    <row r="134" spans="1:25" x14ac:dyDescent="0.2">
      <c r="A134" t="s">
        <v>3</v>
      </c>
      <c r="B134" s="1">
        <v>42651</v>
      </c>
      <c r="C134" s="2" t="str">
        <f t="shared" si="31"/>
        <v>Sat</v>
      </c>
      <c r="D134" t="s">
        <v>6</v>
      </c>
      <c r="E134" t="s">
        <v>20</v>
      </c>
      <c r="F134" t="str">
        <f t="shared" si="32"/>
        <v>D</v>
      </c>
      <c r="G134">
        <f t="shared" si="33"/>
        <v>0</v>
      </c>
      <c r="H134" t="s">
        <v>32</v>
      </c>
      <c r="I134">
        <f t="shared" si="34"/>
        <v>0</v>
      </c>
      <c r="J134">
        <f t="shared" si="29"/>
        <v>25136</v>
      </c>
      <c r="K134" s="15">
        <f t="shared" si="35"/>
        <v>438</v>
      </c>
      <c r="L134" s="15">
        <f t="shared" si="36"/>
        <v>149</v>
      </c>
      <c r="M134">
        <v>2</v>
      </c>
      <c r="N134">
        <v>22</v>
      </c>
      <c r="O134">
        <v>11</v>
      </c>
      <c r="P134">
        <v>3</v>
      </c>
      <c r="Q134" s="9">
        <v>87.317999999999998</v>
      </c>
      <c r="R134">
        <v>9</v>
      </c>
      <c r="S134" t="s">
        <v>68</v>
      </c>
      <c r="T134" s="11">
        <f t="shared" si="37"/>
        <v>25</v>
      </c>
      <c r="U134" s="11">
        <f t="shared" si="38"/>
        <v>20</v>
      </c>
      <c r="V134" t="str">
        <f t="shared" si="27"/>
        <v>BD8 7DY</v>
      </c>
      <c r="W134" t="str">
        <f t="shared" si="28"/>
        <v>SY2 6ST</v>
      </c>
      <c r="X134" s="12">
        <v>17703</v>
      </c>
      <c r="Y134" s="15">
        <f t="shared" si="30"/>
        <v>25</v>
      </c>
    </row>
    <row r="135" spans="1:25" x14ac:dyDescent="0.2">
      <c r="A135" t="s">
        <v>3</v>
      </c>
      <c r="B135" s="1">
        <v>42651</v>
      </c>
      <c r="C135" s="2" t="str">
        <f t="shared" si="31"/>
        <v>Sat</v>
      </c>
      <c r="D135" t="s">
        <v>23</v>
      </c>
      <c r="E135" t="s">
        <v>11</v>
      </c>
      <c r="F135" t="str">
        <f t="shared" si="32"/>
        <v>D</v>
      </c>
      <c r="G135">
        <f t="shared" si="33"/>
        <v>0</v>
      </c>
      <c r="H135" t="s">
        <v>32</v>
      </c>
      <c r="I135">
        <f t="shared" si="34"/>
        <v>0</v>
      </c>
      <c r="J135">
        <f t="shared" si="29"/>
        <v>11582</v>
      </c>
      <c r="K135" s="15">
        <f t="shared" si="35"/>
        <v>729</v>
      </c>
      <c r="L135" s="15">
        <f t="shared" si="36"/>
        <v>285</v>
      </c>
      <c r="M135">
        <v>12</v>
      </c>
      <c r="N135">
        <v>24</v>
      </c>
      <c r="O135">
        <v>4</v>
      </c>
      <c r="P135">
        <v>5</v>
      </c>
      <c r="Q135" s="9">
        <v>187.97300000000001</v>
      </c>
      <c r="R135">
        <v>15</v>
      </c>
      <c r="T135" s="11">
        <f t="shared" si="37"/>
        <v>12</v>
      </c>
      <c r="U135" s="11">
        <f t="shared" si="38"/>
        <v>10</v>
      </c>
      <c r="V135" t="str">
        <f t="shared" si="27"/>
        <v>ME7 4DD</v>
      </c>
      <c r="W135" t="str">
        <f t="shared" si="28"/>
        <v>OL1 2PA</v>
      </c>
      <c r="X135" s="12">
        <v>6435</v>
      </c>
      <c r="Y135" s="15">
        <f t="shared" si="30"/>
        <v>28</v>
      </c>
    </row>
    <row r="136" spans="1:25" x14ac:dyDescent="0.2">
      <c r="A136" t="s">
        <v>3</v>
      </c>
      <c r="B136" s="1">
        <v>42651</v>
      </c>
      <c r="C136" s="2" t="str">
        <f t="shared" si="31"/>
        <v>Sat</v>
      </c>
      <c r="D136" t="s">
        <v>17</v>
      </c>
      <c r="E136" t="s">
        <v>8</v>
      </c>
      <c r="F136" t="str">
        <f t="shared" si="32"/>
        <v>D</v>
      </c>
      <c r="G136">
        <f t="shared" si="33"/>
        <v>0</v>
      </c>
      <c r="H136" t="s">
        <v>32</v>
      </c>
      <c r="I136">
        <f t="shared" si="34"/>
        <v>0</v>
      </c>
      <c r="J136">
        <f t="shared" si="29"/>
        <v>15314</v>
      </c>
      <c r="K136" s="15">
        <f t="shared" si="35"/>
        <v>608</v>
      </c>
      <c r="L136" s="15">
        <f t="shared" si="36"/>
        <v>295</v>
      </c>
      <c r="M136">
        <v>13</v>
      </c>
      <c r="N136">
        <v>3</v>
      </c>
      <c r="O136">
        <v>6</v>
      </c>
      <c r="P136">
        <v>9</v>
      </c>
      <c r="Q136" s="9">
        <v>110.566</v>
      </c>
      <c r="R136">
        <v>12</v>
      </c>
      <c r="T136" s="11">
        <f t="shared" si="37"/>
        <v>21</v>
      </c>
      <c r="U136" s="11">
        <f t="shared" si="38"/>
        <v>20</v>
      </c>
      <c r="V136" t="str">
        <f t="shared" si="27"/>
        <v>PE2 8AL</v>
      </c>
      <c r="W136" t="str">
        <f t="shared" si="28"/>
        <v>BL9 9HR</v>
      </c>
      <c r="X136" s="12">
        <v>3964</v>
      </c>
      <c r="Y136" s="15">
        <f t="shared" si="30"/>
        <v>26</v>
      </c>
    </row>
    <row r="137" spans="1:25" x14ac:dyDescent="0.2">
      <c r="A137" t="s">
        <v>3</v>
      </c>
      <c r="B137" s="1">
        <v>42651</v>
      </c>
      <c r="C137" s="2" t="str">
        <f t="shared" si="31"/>
        <v>Sat</v>
      </c>
      <c r="D137" t="s">
        <v>16</v>
      </c>
      <c r="E137" t="s">
        <v>22</v>
      </c>
      <c r="F137" t="str">
        <f t="shared" si="32"/>
        <v>D</v>
      </c>
      <c r="G137">
        <f t="shared" si="33"/>
        <v>0</v>
      </c>
      <c r="H137" t="s">
        <v>32</v>
      </c>
      <c r="I137">
        <f t="shared" si="34"/>
        <v>0</v>
      </c>
      <c r="J137">
        <f t="shared" si="29"/>
        <v>10249</v>
      </c>
      <c r="K137" s="15">
        <f t="shared" si="35"/>
        <v>635</v>
      </c>
      <c r="L137" s="15">
        <f t="shared" si="36"/>
        <v>290</v>
      </c>
      <c r="M137">
        <v>11</v>
      </c>
      <c r="N137">
        <v>21</v>
      </c>
      <c r="O137">
        <v>15</v>
      </c>
      <c r="P137">
        <v>7</v>
      </c>
      <c r="Q137" s="9">
        <v>187.50700000000001</v>
      </c>
      <c r="R137">
        <v>13</v>
      </c>
      <c r="S137" t="s">
        <v>74</v>
      </c>
      <c r="T137" s="11">
        <f t="shared" si="37"/>
        <v>17</v>
      </c>
      <c r="U137" s="11">
        <f t="shared" si="38"/>
        <v>22</v>
      </c>
      <c r="V137" t="str">
        <f t="shared" si="27"/>
        <v>OL11 5DR</v>
      </c>
      <c r="W137" t="str">
        <f t="shared" si="28"/>
        <v>SS2 6NQ</v>
      </c>
      <c r="X137" s="12">
        <v>2600</v>
      </c>
      <c r="Y137" s="15">
        <f t="shared" si="30"/>
        <v>22</v>
      </c>
    </row>
    <row r="138" spans="1:25" x14ac:dyDescent="0.2">
      <c r="A138" t="s">
        <v>3</v>
      </c>
      <c r="B138" s="1">
        <v>42651</v>
      </c>
      <c r="C138" s="2" t="str">
        <f t="shared" si="31"/>
        <v>Sat</v>
      </c>
      <c r="D138" t="s">
        <v>18</v>
      </c>
      <c r="E138" t="s">
        <v>12</v>
      </c>
      <c r="F138" t="str">
        <f t="shared" si="32"/>
        <v>D</v>
      </c>
      <c r="G138">
        <f t="shared" si="33"/>
        <v>0</v>
      </c>
      <c r="H138" t="s">
        <v>32</v>
      </c>
      <c r="I138">
        <f t="shared" si="34"/>
        <v>0</v>
      </c>
      <c r="J138">
        <f t="shared" si="29"/>
        <v>9183</v>
      </c>
      <c r="K138" s="15">
        <f t="shared" si="35"/>
        <v>843</v>
      </c>
      <c r="L138" s="15">
        <f t="shared" si="36"/>
        <v>288</v>
      </c>
      <c r="M138">
        <v>1</v>
      </c>
      <c r="N138">
        <v>5</v>
      </c>
      <c r="O138">
        <v>9</v>
      </c>
      <c r="P138">
        <v>7</v>
      </c>
      <c r="Q138" s="9">
        <v>93.998000000000005</v>
      </c>
      <c r="R138">
        <v>11</v>
      </c>
      <c r="T138" s="11">
        <f t="shared" si="37"/>
        <v>18</v>
      </c>
      <c r="U138" s="11">
        <f t="shared" si="38"/>
        <v>22</v>
      </c>
      <c r="V138" t="str">
        <f t="shared" si="27"/>
        <v>DN15 8TD</v>
      </c>
      <c r="W138" t="str">
        <f t="shared" si="28"/>
        <v>NN5 5QA</v>
      </c>
      <c r="X138" s="12">
        <v>4714</v>
      </c>
      <c r="Y138" s="15">
        <f t="shared" si="30"/>
        <v>23</v>
      </c>
    </row>
    <row r="139" spans="1:25" x14ac:dyDescent="0.2">
      <c r="A139" t="s">
        <v>3</v>
      </c>
      <c r="B139" s="1">
        <v>42651</v>
      </c>
      <c r="C139" s="2" t="str">
        <f t="shared" si="31"/>
        <v>Sat</v>
      </c>
      <c r="D139" t="s">
        <v>24</v>
      </c>
      <c r="E139" t="s">
        <v>4</v>
      </c>
      <c r="F139" t="str">
        <f t="shared" si="32"/>
        <v>D</v>
      </c>
      <c r="G139">
        <f t="shared" si="33"/>
        <v>0</v>
      </c>
      <c r="H139" t="s">
        <v>32</v>
      </c>
      <c r="I139">
        <f t="shared" si="34"/>
        <v>0</v>
      </c>
      <c r="J139">
        <f t="shared" si="29"/>
        <v>15728</v>
      </c>
      <c r="K139" s="15">
        <f t="shared" si="35"/>
        <v>912</v>
      </c>
      <c r="L139" s="15">
        <f t="shared" si="36"/>
        <v>345</v>
      </c>
      <c r="M139">
        <v>20</v>
      </c>
      <c r="N139">
        <v>8</v>
      </c>
      <c r="O139">
        <v>4</v>
      </c>
      <c r="P139">
        <v>4</v>
      </c>
      <c r="Q139" s="9">
        <v>143.077</v>
      </c>
      <c r="R139">
        <v>13</v>
      </c>
      <c r="S139" t="s">
        <v>68</v>
      </c>
      <c r="T139" s="11">
        <f t="shared" si="37"/>
        <v>19</v>
      </c>
      <c r="U139" s="11">
        <f t="shared" si="38"/>
        <v>19</v>
      </c>
      <c r="V139" t="str">
        <f t="shared" si="27"/>
        <v>SN1 2ED</v>
      </c>
      <c r="W139" t="str">
        <f t="shared" si="28"/>
        <v>BL6 6JW</v>
      </c>
      <c r="X139" s="12">
        <v>7023</v>
      </c>
      <c r="Y139" s="15">
        <f t="shared" si="30"/>
        <v>25</v>
      </c>
    </row>
    <row r="140" spans="1:25" x14ac:dyDescent="0.2">
      <c r="A140" t="s">
        <v>3</v>
      </c>
      <c r="B140" s="1">
        <v>42652</v>
      </c>
      <c r="C140" s="2" t="str">
        <f t="shared" si="31"/>
        <v>Sun</v>
      </c>
      <c r="D140" t="s">
        <v>21</v>
      </c>
      <c r="E140" t="s">
        <v>7</v>
      </c>
      <c r="F140" t="str">
        <f t="shared" si="32"/>
        <v>D</v>
      </c>
      <c r="G140">
        <f t="shared" si="33"/>
        <v>0</v>
      </c>
      <c r="H140" t="s">
        <v>32</v>
      </c>
      <c r="I140">
        <f t="shared" si="34"/>
        <v>0</v>
      </c>
      <c r="J140">
        <f t="shared" si="29"/>
        <v>30500</v>
      </c>
      <c r="K140" s="15">
        <f t="shared" si="35"/>
        <v>697</v>
      </c>
      <c r="L140" s="15">
        <f t="shared" si="36"/>
        <v>312</v>
      </c>
      <c r="M140">
        <v>9</v>
      </c>
      <c r="N140">
        <v>6</v>
      </c>
      <c r="O140">
        <v>7</v>
      </c>
      <c r="P140">
        <v>9</v>
      </c>
      <c r="Q140" s="9">
        <v>94.450999999999993</v>
      </c>
      <c r="R140">
        <v>13</v>
      </c>
      <c r="T140" s="11">
        <f t="shared" si="37"/>
        <v>22</v>
      </c>
      <c r="U140" s="11">
        <f t="shared" si="38"/>
        <v>22</v>
      </c>
      <c r="V140" t="str">
        <f t="shared" si="27"/>
        <v>MK1 1ST</v>
      </c>
      <c r="W140" t="str">
        <f t="shared" si="28"/>
        <v>ST6 1AW</v>
      </c>
      <c r="X140" s="12">
        <v>8259</v>
      </c>
      <c r="Y140" s="15">
        <f t="shared" si="30"/>
        <v>27</v>
      </c>
    </row>
    <row r="141" spans="1:25" x14ac:dyDescent="0.2">
      <c r="A141" t="s">
        <v>3</v>
      </c>
      <c r="B141" s="1">
        <v>42652</v>
      </c>
      <c r="C141" s="2" t="str">
        <f t="shared" si="31"/>
        <v>Sun</v>
      </c>
      <c r="D141" t="s">
        <v>14</v>
      </c>
      <c r="E141" t="s">
        <v>27</v>
      </c>
      <c r="F141" t="str">
        <f t="shared" si="32"/>
        <v>D</v>
      </c>
      <c r="G141">
        <f t="shared" si="33"/>
        <v>0</v>
      </c>
      <c r="H141" t="s">
        <v>32</v>
      </c>
      <c r="I141">
        <f t="shared" si="34"/>
        <v>0</v>
      </c>
      <c r="J141">
        <f t="shared" si="29"/>
        <v>12500</v>
      </c>
      <c r="K141" s="15">
        <f t="shared" si="35"/>
        <v>622</v>
      </c>
      <c r="L141" s="15">
        <f t="shared" si="36"/>
        <v>290</v>
      </c>
      <c r="M141">
        <v>10</v>
      </c>
      <c r="N141">
        <v>15</v>
      </c>
      <c r="O141">
        <v>5</v>
      </c>
      <c r="P141">
        <v>11</v>
      </c>
      <c r="Q141" s="9">
        <v>45.392000000000003</v>
      </c>
      <c r="R141">
        <v>9</v>
      </c>
      <c r="S141" t="s">
        <v>73</v>
      </c>
      <c r="T141" s="11">
        <f t="shared" si="37"/>
        <v>20</v>
      </c>
      <c r="U141" s="11">
        <f t="shared" si="38"/>
        <v>21</v>
      </c>
      <c r="V141" t="str">
        <f t="shared" si="27"/>
        <v>OX4 4XP</v>
      </c>
      <c r="W141" t="str">
        <f t="shared" si="28"/>
        <v>KT1 3PB</v>
      </c>
      <c r="X141" s="12">
        <v>7742</v>
      </c>
      <c r="Y141" s="15">
        <f t="shared" si="30"/>
        <v>24</v>
      </c>
    </row>
    <row r="142" spans="1:25" x14ac:dyDescent="0.2">
      <c r="A142" t="s">
        <v>3</v>
      </c>
      <c r="B142" s="1">
        <v>42658</v>
      </c>
      <c r="C142" s="2" t="str">
        <f t="shared" si="31"/>
        <v>Sat</v>
      </c>
      <c r="D142" t="s">
        <v>27</v>
      </c>
      <c r="E142" t="s">
        <v>24</v>
      </c>
      <c r="F142" t="str">
        <f t="shared" si="32"/>
        <v>D</v>
      </c>
      <c r="G142">
        <f t="shared" si="33"/>
        <v>0</v>
      </c>
      <c r="H142" t="s">
        <v>32</v>
      </c>
      <c r="I142">
        <f t="shared" si="34"/>
        <v>0</v>
      </c>
      <c r="J142">
        <f t="shared" si="29"/>
        <v>4850</v>
      </c>
      <c r="K142" s="15">
        <f t="shared" si="35"/>
        <v>503</v>
      </c>
      <c r="L142" s="15">
        <f t="shared" si="36"/>
        <v>260</v>
      </c>
      <c r="M142">
        <v>11</v>
      </c>
      <c r="N142">
        <v>21</v>
      </c>
      <c r="O142">
        <v>9</v>
      </c>
      <c r="P142">
        <v>5</v>
      </c>
      <c r="Q142" s="9">
        <v>65.046999999999997</v>
      </c>
      <c r="R142">
        <v>15</v>
      </c>
      <c r="T142" s="11">
        <f t="shared" si="37"/>
        <v>17</v>
      </c>
      <c r="U142" s="11">
        <f t="shared" si="38"/>
        <v>17</v>
      </c>
      <c r="V142" t="str">
        <f t="shared" si="27"/>
        <v>KT1 3PB</v>
      </c>
      <c r="W142" t="str">
        <f t="shared" si="28"/>
        <v>SN1 2ED</v>
      </c>
      <c r="X142" s="12">
        <v>4800</v>
      </c>
      <c r="Y142" s="15">
        <f t="shared" si="30"/>
        <v>29</v>
      </c>
    </row>
    <row r="143" spans="1:25" x14ac:dyDescent="0.2">
      <c r="A143" t="s">
        <v>3</v>
      </c>
      <c r="B143" s="1">
        <v>42658</v>
      </c>
      <c r="C143" s="2" t="str">
        <f t="shared" si="31"/>
        <v>Sat</v>
      </c>
      <c r="D143" t="s">
        <v>4</v>
      </c>
      <c r="E143" t="s">
        <v>11</v>
      </c>
      <c r="F143" t="str">
        <f t="shared" si="32"/>
        <v>D</v>
      </c>
      <c r="G143">
        <f t="shared" si="33"/>
        <v>0</v>
      </c>
      <c r="H143" t="s">
        <v>32</v>
      </c>
      <c r="I143">
        <f t="shared" si="34"/>
        <v>0</v>
      </c>
      <c r="J143">
        <f t="shared" si="29"/>
        <v>28723</v>
      </c>
      <c r="K143" s="15">
        <f t="shared" si="35"/>
        <v>729</v>
      </c>
      <c r="L143" s="15">
        <f t="shared" si="36"/>
        <v>280</v>
      </c>
      <c r="M143">
        <v>5</v>
      </c>
      <c r="N143">
        <v>22</v>
      </c>
      <c r="O143">
        <v>7</v>
      </c>
      <c r="P143">
        <v>7</v>
      </c>
      <c r="Q143" s="9">
        <v>16.872</v>
      </c>
      <c r="R143">
        <v>11</v>
      </c>
      <c r="S143" t="s">
        <v>68</v>
      </c>
      <c r="T143" s="11">
        <f t="shared" si="37"/>
        <v>15</v>
      </c>
      <c r="U143" s="11">
        <f t="shared" si="38"/>
        <v>15</v>
      </c>
      <c r="V143" t="str">
        <f t="shared" ref="V143:V206" si="39">IF(D143="Bolton","BL6 6JW",IF(D143="Bradford","BD8 7DY",IF(D143="Bury","BL9 9HR",IF(D143="Millwall","SE16 3LN",IF(D143="Northampton","NN5 5QA",IF(D143="Oxford","OX4 4XP",IF(D143="Rochdale","OL11 5DR",IF(D143="Scunthorpe","DN15 8TD",IF(D143="Shrewsbury","SY2 6ST",IF(D143="Southend","SS2 6NQ",IF(D143="Swindon","SN1 2ED",IF(D143="Walsall","WS1 4SA",IF(D143="Sheffield United","S2 4SU",IF(D143="Port Vale","ST6 1AW",IF(D143="Charlton","SE7 8BL",IF(D143="Oldham","OL1 2PA",IF(D143="Fleetwood Town","FY7 6TX",IF(D143="Chesterfield","S41 8NZ",IF(D143="Peterboro","PE2 8AL",IF(D143="Bristol Rvs","BS7 0BF",IF(D143="Milton Keynes Dons","MK1 1ST",IF(D143="Gillingham","ME7 4DD",IF(D143="Coventry","CV6 6GE",IF(D143="AFC Wimbledon","KT1 3PB"))))))))))))))))))))))))</f>
        <v>BL6 6JW</v>
      </c>
      <c r="W143" t="str">
        <f t="shared" ref="W143:W206" si="40">IF(E143="Bolton","BL6 6JW",IF(E143="Bradford","BD8 7DY",IF(E143="Bury","BL9 9HR",IF(E143="Millwall","SE16 3LN",IF(E143="Northampton","NN5 5QA",IF(E143="Oxford","OX4 4XP",IF(E143="Rochdale","OL11 5DR",IF(E143="Scunthorpe","DN15 8TD",IF(E143="Shrewsbury","SY2 6ST",IF(E143="Southend","SS2 6NQ",IF(E143="Swindon","SN1 2ED",IF(E143="Walsall","WS1 4SA",IF(E143="Sheffield United","S2 4SU",IF(E143="Port Vale","ST6 1AW",IF(E143="Charlton","SE7 8BL",IF(E143="Oldham","OL1 2PA",IF(E143="Fleetwood Town","FY7 6TX",IF(E143="Chesterfield","S41 8NZ",IF(E143="Peterboro","PE2 8AL",IF(E143="Bristol Rvs","BS7 0BF",IF(E143="Milton Keynes Dons","MK1 1ST",IF(E143="Gillingham","ME7 4DD",IF(E143="Coventry","CV6 6GE",IF(E143="AFC Wimbledon","KT1 3PB"))))))))))))))))))))))))</f>
        <v>OL1 2PA</v>
      </c>
      <c r="X143" s="12">
        <v>14891</v>
      </c>
      <c r="Y143" s="15">
        <f t="shared" si="30"/>
        <v>30</v>
      </c>
    </row>
    <row r="144" spans="1:25" x14ac:dyDescent="0.2">
      <c r="A144" t="s">
        <v>3</v>
      </c>
      <c r="B144" s="1">
        <v>42658</v>
      </c>
      <c r="C144" s="2" t="str">
        <f t="shared" si="31"/>
        <v>Sat</v>
      </c>
      <c r="D144" t="s">
        <v>19</v>
      </c>
      <c r="E144" t="s">
        <v>23</v>
      </c>
      <c r="F144" t="str">
        <f t="shared" si="32"/>
        <v>D</v>
      </c>
      <c r="G144">
        <f t="shared" si="33"/>
        <v>0</v>
      </c>
      <c r="H144" t="s">
        <v>32</v>
      </c>
      <c r="I144">
        <f t="shared" si="34"/>
        <v>0</v>
      </c>
      <c r="J144">
        <f t="shared" si="29"/>
        <v>12000</v>
      </c>
      <c r="K144" s="15">
        <f t="shared" si="35"/>
        <v>533</v>
      </c>
      <c r="L144" s="15">
        <f t="shared" si="36"/>
        <v>260</v>
      </c>
      <c r="M144">
        <v>5</v>
      </c>
      <c r="N144">
        <v>16</v>
      </c>
      <c r="O144">
        <v>12</v>
      </c>
      <c r="P144">
        <v>4</v>
      </c>
      <c r="Q144" s="9">
        <v>135.71299999999999</v>
      </c>
      <c r="R144">
        <v>12</v>
      </c>
      <c r="T144" s="11">
        <f t="shared" si="37"/>
        <v>18</v>
      </c>
      <c r="U144" s="11">
        <f t="shared" si="38"/>
        <v>16</v>
      </c>
      <c r="V144" t="str">
        <f t="shared" si="39"/>
        <v>BS7 0BF</v>
      </c>
      <c r="W144" t="str">
        <f t="shared" si="40"/>
        <v>ME7 4DD</v>
      </c>
      <c r="X144" s="12">
        <v>9489</v>
      </c>
      <c r="Y144" s="15">
        <f t="shared" si="30"/>
        <v>26</v>
      </c>
    </row>
    <row r="145" spans="1:25" x14ac:dyDescent="0.2">
      <c r="A145" t="s">
        <v>3</v>
      </c>
      <c r="B145" s="1">
        <v>42658</v>
      </c>
      <c r="C145" s="2" t="str">
        <f t="shared" si="31"/>
        <v>Sat</v>
      </c>
      <c r="D145" t="s">
        <v>9</v>
      </c>
      <c r="E145" t="s">
        <v>25</v>
      </c>
      <c r="F145" t="str">
        <f t="shared" si="32"/>
        <v>D</v>
      </c>
      <c r="G145">
        <f t="shared" si="33"/>
        <v>0</v>
      </c>
      <c r="H145" t="s">
        <v>32</v>
      </c>
      <c r="I145">
        <f t="shared" si="34"/>
        <v>0</v>
      </c>
      <c r="J145">
        <f t="shared" si="29"/>
        <v>26875</v>
      </c>
      <c r="K145" s="15">
        <f t="shared" si="35"/>
        <v>1280</v>
      </c>
      <c r="L145" s="15">
        <f t="shared" si="36"/>
        <v>175</v>
      </c>
      <c r="M145">
        <v>18</v>
      </c>
      <c r="N145">
        <v>24</v>
      </c>
      <c r="O145">
        <v>6</v>
      </c>
      <c r="P145">
        <v>5</v>
      </c>
      <c r="Q145" s="9">
        <v>93.296999999999997</v>
      </c>
      <c r="R145">
        <v>13</v>
      </c>
      <c r="T145" s="11">
        <f t="shared" si="37"/>
        <v>20</v>
      </c>
      <c r="U145" s="11">
        <f t="shared" si="38"/>
        <v>20</v>
      </c>
      <c r="V145" t="str">
        <f t="shared" si="39"/>
        <v>SE7 8BL</v>
      </c>
      <c r="W145" t="str">
        <f t="shared" si="40"/>
        <v>CV6 6GE</v>
      </c>
      <c r="X145" s="12">
        <v>11406</v>
      </c>
      <c r="Y145" s="15">
        <f t="shared" si="30"/>
        <v>35</v>
      </c>
    </row>
    <row r="146" spans="1:25" x14ac:dyDescent="0.2">
      <c r="A146" t="s">
        <v>3</v>
      </c>
      <c r="B146" s="1">
        <v>42658</v>
      </c>
      <c r="C146" s="2" t="str">
        <f t="shared" si="31"/>
        <v>Sat</v>
      </c>
      <c r="D146" t="s">
        <v>13</v>
      </c>
      <c r="E146" t="s">
        <v>17</v>
      </c>
      <c r="F146" t="str">
        <f t="shared" si="32"/>
        <v>D</v>
      </c>
      <c r="G146">
        <f t="shared" si="33"/>
        <v>0</v>
      </c>
      <c r="H146" t="s">
        <v>32</v>
      </c>
      <c r="I146">
        <f t="shared" si="34"/>
        <v>0</v>
      </c>
      <c r="J146">
        <f t="shared" si="29"/>
        <v>5327</v>
      </c>
      <c r="K146" s="15">
        <f t="shared" si="35"/>
        <v>598</v>
      </c>
      <c r="L146" s="15">
        <f t="shared" si="36"/>
        <v>210</v>
      </c>
      <c r="M146">
        <v>17</v>
      </c>
      <c r="N146">
        <v>10</v>
      </c>
      <c r="O146">
        <v>4</v>
      </c>
      <c r="P146">
        <v>6</v>
      </c>
      <c r="Q146" s="9">
        <v>148.33199999999999</v>
      </c>
      <c r="R146">
        <v>10</v>
      </c>
      <c r="S146" t="s">
        <v>68</v>
      </c>
      <c r="T146" s="11">
        <f t="shared" si="37"/>
        <v>21.5</v>
      </c>
      <c r="U146" s="11">
        <f t="shared" si="38"/>
        <v>21.5</v>
      </c>
      <c r="V146" t="str">
        <f t="shared" si="39"/>
        <v>FY7 6TX</v>
      </c>
      <c r="W146" t="str">
        <f t="shared" si="40"/>
        <v>PE2 8AL</v>
      </c>
      <c r="X146" s="12">
        <v>2711</v>
      </c>
      <c r="Y146" s="15">
        <f t="shared" si="30"/>
        <v>23.5</v>
      </c>
    </row>
    <row r="147" spans="1:25" x14ac:dyDescent="0.2">
      <c r="A147" t="s">
        <v>3</v>
      </c>
      <c r="B147" s="1">
        <v>42658</v>
      </c>
      <c r="C147" s="2" t="str">
        <f t="shared" si="31"/>
        <v>Sat</v>
      </c>
      <c r="D147" t="s">
        <v>12</v>
      </c>
      <c r="E147" t="s">
        <v>10</v>
      </c>
      <c r="F147" t="str">
        <f t="shared" si="32"/>
        <v>D</v>
      </c>
      <c r="G147">
        <f t="shared" si="33"/>
        <v>0</v>
      </c>
      <c r="H147" t="s">
        <v>32</v>
      </c>
      <c r="I147">
        <f t="shared" si="34"/>
        <v>0</v>
      </c>
      <c r="J147">
        <f t="shared" si="29"/>
        <v>7653</v>
      </c>
      <c r="K147" s="15">
        <f t="shared" si="35"/>
        <v>827</v>
      </c>
      <c r="L147" s="15">
        <f t="shared" si="36"/>
        <v>249</v>
      </c>
      <c r="M147">
        <v>6</v>
      </c>
      <c r="N147">
        <v>20</v>
      </c>
      <c r="O147">
        <v>7</v>
      </c>
      <c r="P147">
        <v>3</v>
      </c>
      <c r="Q147" s="9">
        <v>64.028999999999996</v>
      </c>
      <c r="R147">
        <v>12</v>
      </c>
      <c r="T147" s="11">
        <f t="shared" si="37"/>
        <v>24</v>
      </c>
      <c r="U147" s="11">
        <f t="shared" si="38"/>
        <v>24</v>
      </c>
      <c r="V147" t="str">
        <f t="shared" si="39"/>
        <v>NN5 5QA</v>
      </c>
      <c r="W147" t="str">
        <f t="shared" si="40"/>
        <v>SE16 3LN</v>
      </c>
      <c r="X147" s="12">
        <v>6908</v>
      </c>
      <c r="Y147" s="15">
        <f t="shared" si="30"/>
        <v>24</v>
      </c>
    </row>
    <row r="148" spans="1:25" x14ac:dyDescent="0.2">
      <c r="A148" t="s">
        <v>3</v>
      </c>
      <c r="B148" s="1">
        <v>42658</v>
      </c>
      <c r="C148" s="2" t="str">
        <f t="shared" si="31"/>
        <v>Sat</v>
      </c>
      <c r="D148" t="s">
        <v>14</v>
      </c>
      <c r="E148" t="s">
        <v>6</v>
      </c>
      <c r="F148" t="str">
        <f t="shared" si="32"/>
        <v>D</v>
      </c>
      <c r="G148">
        <f t="shared" si="33"/>
        <v>0</v>
      </c>
      <c r="H148" t="s">
        <v>32</v>
      </c>
      <c r="I148">
        <f t="shared" si="34"/>
        <v>0</v>
      </c>
      <c r="J148">
        <f t="shared" si="29"/>
        <v>12500</v>
      </c>
      <c r="K148" s="15">
        <f t="shared" si="35"/>
        <v>1437</v>
      </c>
      <c r="L148" s="15">
        <f t="shared" si="36"/>
        <v>290</v>
      </c>
      <c r="M148">
        <v>14</v>
      </c>
      <c r="N148">
        <v>2</v>
      </c>
      <c r="O148">
        <v>7</v>
      </c>
      <c r="P148">
        <v>10</v>
      </c>
      <c r="Q148" s="9">
        <v>146.13900000000001</v>
      </c>
      <c r="R148">
        <v>11</v>
      </c>
      <c r="S148" t="s">
        <v>74</v>
      </c>
      <c r="T148" s="11">
        <f t="shared" si="37"/>
        <v>20</v>
      </c>
      <c r="U148" s="11">
        <f t="shared" si="38"/>
        <v>21</v>
      </c>
      <c r="V148" t="str">
        <f t="shared" si="39"/>
        <v>OX4 4XP</v>
      </c>
      <c r="W148" t="str">
        <f t="shared" si="40"/>
        <v>BD8 7DY</v>
      </c>
      <c r="X148" s="12">
        <v>8245</v>
      </c>
      <c r="Y148" s="15">
        <f t="shared" si="30"/>
        <v>24</v>
      </c>
    </row>
    <row r="149" spans="1:25" x14ac:dyDescent="0.2">
      <c r="A149" t="s">
        <v>3</v>
      </c>
      <c r="B149" s="1">
        <v>42658</v>
      </c>
      <c r="C149" s="2" t="str">
        <f t="shared" si="31"/>
        <v>Sat</v>
      </c>
      <c r="D149" t="s">
        <v>16</v>
      </c>
      <c r="E149" t="s">
        <v>8</v>
      </c>
      <c r="F149" t="str">
        <f t="shared" si="32"/>
        <v>D</v>
      </c>
      <c r="G149">
        <f t="shared" si="33"/>
        <v>0</v>
      </c>
      <c r="H149" t="s">
        <v>32</v>
      </c>
      <c r="I149">
        <f t="shared" si="34"/>
        <v>0</v>
      </c>
      <c r="J149">
        <f t="shared" si="29"/>
        <v>10249</v>
      </c>
      <c r="K149" s="15">
        <f t="shared" si="35"/>
        <v>608</v>
      </c>
      <c r="L149" s="15">
        <f t="shared" si="36"/>
        <v>290</v>
      </c>
      <c r="M149">
        <v>8</v>
      </c>
      <c r="N149">
        <v>3</v>
      </c>
      <c r="O149">
        <v>15</v>
      </c>
      <c r="P149">
        <v>6</v>
      </c>
      <c r="Q149" s="9">
        <v>5.407</v>
      </c>
      <c r="R149">
        <v>11</v>
      </c>
      <c r="S149" t="s">
        <v>68</v>
      </c>
      <c r="T149" s="11">
        <f t="shared" si="37"/>
        <v>17</v>
      </c>
      <c r="U149" s="11">
        <f t="shared" si="38"/>
        <v>22</v>
      </c>
      <c r="V149" t="str">
        <f t="shared" si="39"/>
        <v>OL11 5DR</v>
      </c>
      <c r="W149" t="str">
        <f t="shared" si="40"/>
        <v>BL9 9HR</v>
      </c>
      <c r="X149" s="12">
        <v>5344</v>
      </c>
      <c r="Y149" s="15">
        <f t="shared" si="30"/>
        <v>22</v>
      </c>
    </row>
    <row r="150" spans="1:25" x14ac:dyDescent="0.2">
      <c r="A150" t="s">
        <v>3</v>
      </c>
      <c r="B150" s="1">
        <v>42658</v>
      </c>
      <c r="C150" s="2" t="str">
        <f t="shared" si="31"/>
        <v>Sat</v>
      </c>
      <c r="D150" t="s">
        <v>18</v>
      </c>
      <c r="E150" t="s">
        <v>21</v>
      </c>
      <c r="F150" t="str">
        <f t="shared" si="32"/>
        <v>D</v>
      </c>
      <c r="G150">
        <f t="shared" si="33"/>
        <v>0</v>
      </c>
      <c r="H150" t="s">
        <v>32</v>
      </c>
      <c r="I150">
        <f t="shared" si="34"/>
        <v>0</v>
      </c>
      <c r="J150">
        <f t="shared" si="29"/>
        <v>9183</v>
      </c>
      <c r="K150" s="15">
        <f t="shared" si="35"/>
        <v>596</v>
      </c>
      <c r="L150" s="15">
        <f t="shared" si="36"/>
        <v>288</v>
      </c>
      <c r="M150">
        <v>1</v>
      </c>
      <c r="N150">
        <v>12</v>
      </c>
      <c r="O150">
        <v>11</v>
      </c>
      <c r="P150">
        <v>6</v>
      </c>
      <c r="Q150" s="9">
        <v>109.02500000000001</v>
      </c>
      <c r="R150">
        <v>10</v>
      </c>
      <c r="S150" t="s">
        <v>72</v>
      </c>
      <c r="T150" s="11">
        <f t="shared" si="37"/>
        <v>18</v>
      </c>
      <c r="U150" s="11">
        <f t="shared" si="38"/>
        <v>22</v>
      </c>
      <c r="V150" t="str">
        <f t="shared" si="39"/>
        <v>DN15 8TD</v>
      </c>
      <c r="W150" t="str">
        <f t="shared" si="40"/>
        <v>MK1 1ST</v>
      </c>
      <c r="X150" s="12">
        <v>4238</v>
      </c>
      <c r="Y150" s="15">
        <f t="shared" si="30"/>
        <v>23</v>
      </c>
    </row>
    <row r="151" spans="1:25" x14ac:dyDescent="0.2">
      <c r="A151" t="s">
        <v>3</v>
      </c>
      <c r="B151" s="1">
        <v>42658</v>
      </c>
      <c r="C151" s="2" t="str">
        <f t="shared" si="31"/>
        <v>Sat</v>
      </c>
      <c r="D151" t="s">
        <v>5</v>
      </c>
      <c r="E151" t="s">
        <v>7</v>
      </c>
      <c r="F151" t="str">
        <f t="shared" si="32"/>
        <v>D</v>
      </c>
      <c r="G151">
        <f t="shared" si="33"/>
        <v>0</v>
      </c>
      <c r="H151" t="s">
        <v>32</v>
      </c>
      <c r="I151">
        <f t="shared" si="34"/>
        <v>0</v>
      </c>
      <c r="J151">
        <f t="shared" si="29"/>
        <v>32702</v>
      </c>
      <c r="K151" s="15">
        <f t="shared" si="35"/>
        <v>697</v>
      </c>
      <c r="L151" s="15">
        <f t="shared" si="36"/>
        <v>288</v>
      </c>
      <c r="M151">
        <v>9</v>
      </c>
      <c r="N151">
        <v>4</v>
      </c>
      <c r="O151">
        <v>11</v>
      </c>
      <c r="P151">
        <v>5</v>
      </c>
      <c r="Q151" s="9">
        <v>37.158999999999999</v>
      </c>
      <c r="R151">
        <v>10</v>
      </c>
      <c r="S151" t="s">
        <v>72</v>
      </c>
      <c r="T151" s="11">
        <f t="shared" si="37"/>
        <v>20</v>
      </c>
      <c r="U151" s="11">
        <f t="shared" si="38"/>
        <v>20</v>
      </c>
      <c r="V151" t="str">
        <f t="shared" si="39"/>
        <v>S2 4SU</v>
      </c>
      <c r="W151" t="str">
        <f t="shared" si="40"/>
        <v>ST6 1AW</v>
      </c>
      <c r="X151" s="12">
        <v>19699</v>
      </c>
      <c r="Y151" s="15">
        <f t="shared" si="30"/>
        <v>29</v>
      </c>
    </row>
    <row r="152" spans="1:25" x14ac:dyDescent="0.2">
      <c r="A152" t="s">
        <v>3</v>
      </c>
      <c r="B152" s="1">
        <v>42658</v>
      </c>
      <c r="C152" s="2" t="str">
        <f t="shared" si="31"/>
        <v>Sat</v>
      </c>
      <c r="D152" t="s">
        <v>22</v>
      </c>
      <c r="E152" t="s">
        <v>15</v>
      </c>
      <c r="F152" t="str">
        <f t="shared" si="32"/>
        <v>D</v>
      </c>
      <c r="G152">
        <f t="shared" si="33"/>
        <v>0</v>
      </c>
      <c r="H152" t="s">
        <v>32</v>
      </c>
      <c r="I152">
        <f t="shared" si="34"/>
        <v>0</v>
      </c>
      <c r="J152">
        <f t="shared" si="29"/>
        <v>12392</v>
      </c>
      <c r="K152" s="15">
        <f t="shared" si="35"/>
        <v>583</v>
      </c>
      <c r="L152" s="15">
        <f t="shared" si="36"/>
        <v>395</v>
      </c>
      <c r="M152">
        <v>23</v>
      </c>
      <c r="N152">
        <v>18</v>
      </c>
      <c r="O152">
        <v>7</v>
      </c>
      <c r="P152">
        <v>4</v>
      </c>
      <c r="Q152" s="9">
        <v>148.166</v>
      </c>
      <c r="R152">
        <v>11</v>
      </c>
      <c r="T152" s="11">
        <f t="shared" si="37"/>
        <v>25</v>
      </c>
      <c r="U152" s="11">
        <f t="shared" si="38"/>
        <v>22</v>
      </c>
      <c r="V152" t="str">
        <f t="shared" si="39"/>
        <v>SS2 6NQ</v>
      </c>
      <c r="W152" t="str">
        <f t="shared" si="40"/>
        <v>S41 8NZ</v>
      </c>
      <c r="X152" s="12">
        <v>6004</v>
      </c>
      <c r="Y152" s="15">
        <f t="shared" si="30"/>
        <v>25</v>
      </c>
    </row>
    <row r="153" spans="1:25" x14ac:dyDescent="0.2">
      <c r="A153" t="s">
        <v>3</v>
      </c>
      <c r="B153" s="1">
        <v>42658</v>
      </c>
      <c r="C153" s="2" t="str">
        <f t="shared" si="31"/>
        <v>Sat</v>
      </c>
      <c r="D153" t="s">
        <v>26</v>
      </c>
      <c r="E153" t="s">
        <v>20</v>
      </c>
      <c r="F153" t="str">
        <f t="shared" si="32"/>
        <v>D</v>
      </c>
      <c r="G153">
        <f t="shared" si="33"/>
        <v>0</v>
      </c>
      <c r="H153" t="s">
        <v>32</v>
      </c>
      <c r="I153">
        <f t="shared" si="34"/>
        <v>0</v>
      </c>
      <c r="J153">
        <f t="shared" si="29"/>
        <v>11300</v>
      </c>
      <c r="K153" s="15">
        <f t="shared" si="35"/>
        <v>438</v>
      </c>
      <c r="L153" s="15">
        <f t="shared" si="36"/>
        <v>253</v>
      </c>
      <c r="M153">
        <v>12</v>
      </c>
      <c r="N153">
        <v>24</v>
      </c>
      <c r="O153">
        <v>10</v>
      </c>
      <c r="P153">
        <v>3</v>
      </c>
      <c r="Q153" s="9">
        <v>32.911999999999999</v>
      </c>
      <c r="R153">
        <v>11</v>
      </c>
      <c r="T153" s="11">
        <f t="shared" si="37"/>
        <v>20</v>
      </c>
      <c r="U153" s="11">
        <f t="shared" si="38"/>
        <v>20</v>
      </c>
      <c r="V153" t="str">
        <f t="shared" si="39"/>
        <v>WS1 4SA</v>
      </c>
      <c r="W153" t="str">
        <f t="shared" si="40"/>
        <v>SY2 6ST</v>
      </c>
      <c r="X153" s="12">
        <v>4759</v>
      </c>
      <c r="Y153" s="15">
        <f t="shared" si="30"/>
        <v>25.5</v>
      </c>
    </row>
    <row r="154" spans="1:25" x14ac:dyDescent="0.2">
      <c r="A154" t="s">
        <v>3</v>
      </c>
      <c r="B154" s="1">
        <v>42661</v>
      </c>
      <c r="C154" s="2" t="str">
        <f t="shared" si="31"/>
        <v>Tue</v>
      </c>
      <c r="D154" t="s">
        <v>6</v>
      </c>
      <c r="E154" t="s">
        <v>22</v>
      </c>
      <c r="F154" t="str">
        <f t="shared" si="32"/>
        <v>E</v>
      </c>
      <c r="G154">
        <f t="shared" si="33"/>
        <v>1</v>
      </c>
      <c r="H154" t="s">
        <v>32</v>
      </c>
      <c r="I154">
        <f t="shared" si="34"/>
        <v>0</v>
      </c>
      <c r="J154">
        <f t="shared" ref="J154:J217" si="41">IF(D154="AFC Wimbledon",4850,IF(D154="Bolton",28723,IF(D154="Bradford",25136,IF(D154="Bury",11841,IF(D154="Millwall",20146,IF(D154="Northampton",7653,IF(D154="Oxford",12500,IF(D154="Rochdale",10249,IF(D154="Scunthorpe",9183,IF(D154="Shrewsbury",9875,IF(D154="Southend",12392,IF(D154="Swindon",15728,IF(D154="Walsall",11300,IF(D154="Charlton",26875,IF(D154="Chesterfield",10504,IF(D154="Coventry",32609,IF(D154="Fleetwood Town",5327,IF(D154="Gillingham",11582,IF(D154="Milton Keynes Dons",30500,IF(D154="Oldham",13559,IF(D154="Peterboro",15314,IF(D154="Port Vale",18947,IF(D154="Sheffield United",32702,IF(D154="Bristol Rvs",12000))))))))))))))))))))))))</f>
        <v>25136</v>
      </c>
      <c r="K154" s="15">
        <f t="shared" si="35"/>
        <v>635</v>
      </c>
      <c r="L154" s="15">
        <f t="shared" si="36"/>
        <v>149</v>
      </c>
      <c r="M154">
        <v>2</v>
      </c>
      <c r="N154">
        <v>19</v>
      </c>
      <c r="O154">
        <v>10</v>
      </c>
      <c r="P154">
        <v>8</v>
      </c>
      <c r="Q154" s="9">
        <v>186.98400000000001</v>
      </c>
      <c r="R154">
        <v>8</v>
      </c>
      <c r="S154" t="s">
        <v>68</v>
      </c>
      <c r="T154" s="11">
        <f t="shared" si="37"/>
        <v>25</v>
      </c>
      <c r="U154" s="11">
        <f t="shared" si="38"/>
        <v>20</v>
      </c>
      <c r="V154" t="str">
        <f t="shared" si="39"/>
        <v>BD8 7DY</v>
      </c>
      <c r="W154" t="str">
        <f t="shared" si="40"/>
        <v>SS2 6NQ</v>
      </c>
      <c r="X154" s="12">
        <v>16112</v>
      </c>
      <c r="Y154" s="15">
        <f t="shared" si="30"/>
        <v>25</v>
      </c>
    </row>
    <row r="155" spans="1:25" x14ac:dyDescent="0.2">
      <c r="A155" t="s">
        <v>3</v>
      </c>
      <c r="B155" s="1">
        <v>42661</v>
      </c>
      <c r="C155" s="2" t="str">
        <f t="shared" si="31"/>
        <v>Tue</v>
      </c>
      <c r="D155" t="s">
        <v>8</v>
      </c>
      <c r="E155" t="s">
        <v>27</v>
      </c>
      <c r="F155" t="str">
        <f t="shared" si="32"/>
        <v>E</v>
      </c>
      <c r="G155">
        <f t="shared" si="33"/>
        <v>1</v>
      </c>
      <c r="H155" t="s">
        <v>32</v>
      </c>
      <c r="I155">
        <f t="shared" si="34"/>
        <v>0</v>
      </c>
      <c r="J155">
        <f t="shared" si="41"/>
        <v>11841</v>
      </c>
      <c r="K155" s="15">
        <f t="shared" si="35"/>
        <v>622</v>
      </c>
      <c r="L155" s="15">
        <f t="shared" si="36"/>
        <v>275</v>
      </c>
      <c r="M155">
        <v>6</v>
      </c>
      <c r="N155">
        <v>12</v>
      </c>
      <c r="O155">
        <v>3</v>
      </c>
      <c r="P155">
        <v>11</v>
      </c>
      <c r="Q155" s="9">
        <v>172.67699999999999</v>
      </c>
      <c r="R155">
        <v>9</v>
      </c>
      <c r="S155" t="s">
        <v>74</v>
      </c>
      <c r="T155" s="11">
        <f t="shared" si="37"/>
        <v>18</v>
      </c>
      <c r="U155" s="11">
        <f t="shared" si="38"/>
        <v>18</v>
      </c>
      <c r="V155" t="str">
        <f t="shared" si="39"/>
        <v>BL9 9HR</v>
      </c>
      <c r="W155" t="str">
        <f t="shared" si="40"/>
        <v>KT1 3PB</v>
      </c>
      <c r="X155" s="12">
        <v>2211</v>
      </c>
      <c r="Y155" s="15">
        <f t="shared" si="30"/>
        <v>22</v>
      </c>
    </row>
    <row r="156" spans="1:25" x14ac:dyDescent="0.2">
      <c r="A156" t="s">
        <v>3</v>
      </c>
      <c r="B156" s="1">
        <v>42661</v>
      </c>
      <c r="C156" s="2" t="str">
        <f t="shared" si="31"/>
        <v>Tue</v>
      </c>
      <c r="D156" t="s">
        <v>15</v>
      </c>
      <c r="E156" t="s">
        <v>13</v>
      </c>
      <c r="F156" t="str">
        <f t="shared" si="32"/>
        <v>E</v>
      </c>
      <c r="G156">
        <f t="shared" si="33"/>
        <v>1</v>
      </c>
      <c r="H156" t="s">
        <v>32</v>
      </c>
      <c r="I156">
        <f t="shared" si="34"/>
        <v>0</v>
      </c>
      <c r="J156">
        <f t="shared" si="41"/>
        <v>10504</v>
      </c>
      <c r="K156" s="15">
        <f t="shared" si="35"/>
        <v>210</v>
      </c>
      <c r="L156" s="15">
        <f t="shared" si="36"/>
        <v>345</v>
      </c>
      <c r="M156">
        <v>21</v>
      </c>
      <c r="N156">
        <v>13</v>
      </c>
      <c r="O156">
        <v>1</v>
      </c>
      <c r="P156">
        <v>7</v>
      </c>
      <c r="Q156" s="9">
        <v>80.055000000000007</v>
      </c>
      <c r="R156">
        <v>10</v>
      </c>
      <c r="T156" s="11">
        <f t="shared" si="37"/>
        <v>22</v>
      </c>
      <c r="U156" s="11">
        <f t="shared" si="38"/>
        <v>20</v>
      </c>
      <c r="V156" t="str">
        <f t="shared" si="39"/>
        <v>S41 8NZ</v>
      </c>
      <c r="W156" t="str">
        <f t="shared" si="40"/>
        <v>FY7 6TX</v>
      </c>
      <c r="X156" s="12">
        <v>4598</v>
      </c>
      <c r="Y156" s="15">
        <f t="shared" si="30"/>
        <v>26</v>
      </c>
    </row>
    <row r="157" spans="1:25" x14ac:dyDescent="0.2">
      <c r="A157" t="s">
        <v>3</v>
      </c>
      <c r="B157" s="1">
        <v>42661</v>
      </c>
      <c r="C157" s="2" t="str">
        <f t="shared" si="31"/>
        <v>Tue</v>
      </c>
      <c r="D157" t="s">
        <v>25</v>
      </c>
      <c r="E157" t="s">
        <v>14</v>
      </c>
      <c r="F157" t="str">
        <f t="shared" si="32"/>
        <v>E</v>
      </c>
      <c r="G157">
        <f t="shared" si="33"/>
        <v>1</v>
      </c>
      <c r="H157" t="s">
        <v>32</v>
      </c>
      <c r="I157">
        <f t="shared" si="34"/>
        <v>0</v>
      </c>
      <c r="J157">
        <f t="shared" si="41"/>
        <v>32609</v>
      </c>
      <c r="K157" s="15">
        <f t="shared" si="35"/>
        <v>1000</v>
      </c>
      <c r="L157" s="15">
        <f t="shared" si="36"/>
        <v>299</v>
      </c>
      <c r="M157">
        <v>22</v>
      </c>
      <c r="N157">
        <v>12</v>
      </c>
      <c r="O157">
        <v>7</v>
      </c>
      <c r="P157">
        <v>6</v>
      </c>
      <c r="Q157" s="9">
        <v>52.023000000000003</v>
      </c>
      <c r="R157">
        <v>11</v>
      </c>
      <c r="T157" s="11">
        <f t="shared" si="37"/>
        <v>22</v>
      </c>
      <c r="U157" s="11">
        <f t="shared" si="38"/>
        <v>22</v>
      </c>
      <c r="V157" t="str">
        <f t="shared" si="39"/>
        <v>CV6 6GE</v>
      </c>
      <c r="W157" t="str">
        <f t="shared" si="40"/>
        <v>OX4 4XP</v>
      </c>
      <c r="X157" s="12">
        <v>9912</v>
      </c>
      <c r="Y157" s="15">
        <f t="shared" si="30"/>
        <v>26</v>
      </c>
    </row>
    <row r="158" spans="1:25" x14ac:dyDescent="0.2">
      <c r="A158" t="s">
        <v>3</v>
      </c>
      <c r="B158" s="1">
        <v>42661</v>
      </c>
      <c r="C158" s="2" t="str">
        <f t="shared" si="31"/>
        <v>Tue</v>
      </c>
      <c r="D158" t="s">
        <v>23</v>
      </c>
      <c r="E158" t="s">
        <v>26</v>
      </c>
      <c r="F158" t="str">
        <f t="shared" si="32"/>
        <v>E</v>
      </c>
      <c r="G158">
        <f t="shared" si="33"/>
        <v>1</v>
      </c>
      <c r="H158" t="s">
        <v>32</v>
      </c>
      <c r="I158">
        <f t="shared" si="34"/>
        <v>0</v>
      </c>
      <c r="J158">
        <f t="shared" si="41"/>
        <v>11582</v>
      </c>
      <c r="K158" s="15">
        <f t="shared" si="35"/>
        <v>792</v>
      </c>
      <c r="L158" s="15">
        <f t="shared" si="36"/>
        <v>285</v>
      </c>
      <c r="M158">
        <v>18</v>
      </c>
      <c r="N158">
        <v>9</v>
      </c>
      <c r="O158">
        <v>2</v>
      </c>
      <c r="P158">
        <v>8</v>
      </c>
      <c r="Q158" s="9">
        <v>135.941</v>
      </c>
      <c r="R158">
        <v>13</v>
      </c>
      <c r="T158" s="11">
        <f t="shared" si="37"/>
        <v>12</v>
      </c>
      <c r="U158" s="11">
        <f t="shared" si="38"/>
        <v>10</v>
      </c>
      <c r="V158" t="str">
        <f t="shared" si="39"/>
        <v>ME7 4DD</v>
      </c>
      <c r="W158" t="str">
        <f t="shared" si="40"/>
        <v>WS1 4SA</v>
      </c>
      <c r="X158" s="12">
        <v>5542</v>
      </c>
      <c r="Y158" s="15">
        <f t="shared" si="30"/>
        <v>28</v>
      </c>
    </row>
    <row r="159" spans="1:25" x14ac:dyDescent="0.2">
      <c r="A159" t="s">
        <v>3</v>
      </c>
      <c r="B159" s="1">
        <v>42661</v>
      </c>
      <c r="C159" s="2" t="str">
        <f t="shared" si="31"/>
        <v>Tue</v>
      </c>
      <c r="D159" t="s">
        <v>10</v>
      </c>
      <c r="E159" t="s">
        <v>4</v>
      </c>
      <c r="F159" t="str">
        <f t="shared" si="32"/>
        <v>E</v>
      </c>
      <c r="G159">
        <f t="shared" si="33"/>
        <v>1</v>
      </c>
      <c r="H159" t="s">
        <v>32</v>
      </c>
      <c r="I159">
        <f t="shared" si="34"/>
        <v>0</v>
      </c>
      <c r="J159">
        <f t="shared" si="41"/>
        <v>20146</v>
      </c>
      <c r="K159" s="15">
        <f t="shared" si="35"/>
        <v>912</v>
      </c>
      <c r="L159" s="15">
        <f t="shared" si="36"/>
        <v>333</v>
      </c>
      <c r="M159">
        <v>17</v>
      </c>
      <c r="N159">
        <v>3</v>
      </c>
      <c r="O159">
        <v>3</v>
      </c>
      <c r="P159">
        <v>9</v>
      </c>
      <c r="Q159" s="9">
        <v>178.59399999999999</v>
      </c>
      <c r="R159">
        <v>12</v>
      </c>
      <c r="S159" t="s">
        <v>68</v>
      </c>
      <c r="T159" s="11">
        <f t="shared" si="37"/>
        <v>22</v>
      </c>
      <c r="U159" s="11">
        <f t="shared" si="38"/>
        <v>23</v>
      </c>
      <c r="V159" t="str">
        <f t="shared" si="39"/>
        <v>SE16 3LN</v>
      </c>
      <c r="W159" t="str">
        <f t="shared" si="40"/>
        <v>BL6 6JW</v>
      </c>
      <c r="X159" s="12">
        <v>7898</v>
      </c>
      <c r="Y159" s="15">
        <f t="shared" si="30"/>
        <v>30</v>
      </c>
    </row>
    <row r="160" spans="1:25" x14ac:dyDescent="0.2">
      <c r="A160" t="s">
        <v>3</v>
      </c>
      <c r="B160" s="1">
        <v>42661</v>
      </c>
      <c r="C160" s="2" t="str">
        <f t="shared" si="31"/>
        <v>Tue</v>
      </c>
      <c r="D160" t="s">
        <v>21</v>
      </c>
      <c r="E160" t="s">
        <v>19</v>
      </c>
      <c r="F160" t="str">
        <f t="shared" si="32"/>
        <v>E</v>
      </c>
      <c r="G160">
        <f t="shared" si="33"/>
        <v>1</v>
      </c>
      <c r="H160" t="s">
        <v>32</v>
      </c>
      <c r="I160">
        <f t="shared" si="34"/>
        <v>0</v>
      </c>
      <c r="J160">
        <f t="shared" si="41"/>
        <v>30500</v>
      </c>
      <c r="K160" s="15">
        <f t="shared" si="35"/>
        <v>1159</v>
      </c>
      <c r="L160" s="15">
        <f t="shared" si="36"/>
        <v>312</v>
      </c>
      <c r="M160">
        <v>16</v>
      </c>
      <c r="N160">
        <v>8</v>
      </c>
      <c r="O160">
        <v>4</v>
      </c>
      <c r="P160">
        <v>10</v>
      </c>
      <c r="Q160" s="9">
        <v>87.034999999999997</v>
      </c>
      <c r="R160">
        <v>11</v>
      </c>
      <c r="T160" s="11">
        <f t="shared" si="37"/>
        <v>22</v>
      </c>
      <c r="U160" s="11">
        <f t="shared" si="38"/>
        <v>22</v>
      </c>
      <c r="V160" t="str">
        <f t="shared" si="39"/>
        <v>MK1 1ST</v>
      </c>
      <c r="W160" t="str">
        <f t="shared" si="40"/>
        <v>BS7 0BF</v>
      </c>
      <c r="X160" s="12">
        <v>8366</v>
      </c>
      <c r="Y160" s="15">
        <f t="shared" si="30"/>
        <v>27</v>
      </c>
    </row>
    <row r="161" spans="1:25" x14ac:dyDescent="0.2">
      <c r="A161" t="s">
        <v>3</v>
      </c>
      <c r="B161" s="1">
        <v>42661</v>
      </c>
      <c r="C161" s="2" t="str">
        <f t="shared" si="31"/>
        <v>Tue</v>
      </c>
      <c r="D161" t="s">
        <v>11</v>
      </c>
      <c r="E161" t="s">
        <v>18</v>
      </c>
      <c r="F161" t="str">
        <f t="shared" si="32"/>
        <v>E</v>
      </c>
      <c r="G161">
        <f t="shared" si="33"/>
        <v>1</v>
      </c>
      <c r="H161" t="s">
        <v>32</v>
      </c>
      <c r="I161">
        <f t="shared" si="34"/>
        <v>0</v>
      </c>
      <c r="J161">
        <f t="shared" si="41"/>
        <v>13559</v>
      </c>
      <c r="K161" s="15">
        <f t="shared" si="35"/>
        <v>508</v>
      </c>
      <c r="L161" s="15">
        <f t="shared" si="36"/>
        <v>300</v>
      </c>
      <c r="M161">
        <v>23</v>
      </c>
      <c r="N161">
        <v>1</v>
      </c>
      <c r="O161">
        <v>7</v>
      </c>
      <c r="P161">
        <v>10</v>
      </c>
      <c r="Q161" s="9">
        <v>58.857999999999997</v>
      </c>
      <c r="R161">
        <v>9</v>
      </c>
      <c r="S161" t="s">
        <v>68</v>
      </c>
      <c r="T161" s="11">
        <f t="shared" si="37"/>
        <v>22</v>
      </c>
      <c r="U161" s="11">
        <f t="shared" si="38"/>
        <v>24</v>
      </c>
      <c r="V161" t="str">
        <f t="shared" si="39"/>
        <v>OL1 2PA</v>
      </c>
      <c r="W161" t="str">
        <f t="shared" si="40"/>
        <v>DN15 8TD</v>
      </c>
      <c r="X161" s="12">
        <v>2911</v>
      </c>
      <c r="Y161" s="15">
        <f t="shared" si="30"/>
        <v>24</v>
      </c>
    </row>
    <row r="162" spans="1:25" x14ac:dyDescent="0.2">
      <c r="A162" t="s">
        <v>3</v>
      </c>
      <c r="B162" s="1">
        <v>42661</v>
      </c>
      <c r="C162" s="2" t="str">
        <f t="shared" si="31"/>
        <v>Tue</v>
      </c>
      <c r="D162" t="s">
        <v>17</v>
      </c>
      <c r="E162" t="s">
        <v>12</v>
      </c>
      <c r="F162" t="str">
        <f t="shared" si="32"/>
        <v>E</v>
      </c>
      <c r="G162">
        <f t="shared" si="33"/>
        <v>1</v>
      </c>
      <c r="H162" t="s">
        <v>32</v>
      </c>
      <c r="I162">
        <f t="shared" si="34"/>
        <v>0</v>
      </c>
      <c r="J162">
        <f t="shared" si="41"/>
        <v>15314</v>
      </c>
      <c r="K162" s="15">
        <f t="shared" si="35"/>
        <v>843</v>
      </c>
      <c r="L162" s="15">
        <f t="shared" si="36"/>
        <v>295</v>
      </c>
      <c r="M162">
        <v>13</v>
      </c>
      <c r="N162">
        <v>10</v>
      </c>
      <c r="O162">
        <v>8</v>
      </c>
      <c r="P162">
        <v>4</v>
      </c>
      <c r="Q162" s="9">
        <v>37.078000000000003</v>
      </c>
      <c r="R162">
        <v>10</v>
      </c>
      <c r="T162" s="11">
        <f t="shared" si="37"/>
        <v>21</v>
      </c>
      <c r="U162" s="11">
        <f t="shared" si="38"/>
        <v>20</v>
      </c>
      <c r="V162" t="str">
        <f t="shared" si="39"/>
        <v>PE2 8AL</v>
      </c>
      <c r="W162" t="str">
        <f t="shared" si="40"/>
        <v>NN5 5QA</v>
      </c>
      <c r="X162" s="12">
        <v>9157</v>
      </c>
      <c r="Y162" s="15">
        <f t="shared" si="30"/>
        <v>26</v>
      </c>
    </row>
    <row r="163" spans="1:25" x14ac:dyDescent="0.2">
      <c r="A163" t="s">
        <v>3</v>
      </c>
      <c r="B163" s="1">
        <v>42661</v>
      </c>
      <c r="C163" s="2" t="str">
        <f t="shared" si="31"/>
        <v>Tue</v>
      </c>
      <c r="D163" t="s">
        <v>7</v>
      </c>
      <c r="E163" t="s">
        <v>9</v>
      </c>
      <c r="F163" t="str">
        <f t="shared" si="32"/>
        <v>E</v>
      </c>
      <c r="G163">
        <f t="shared" si="33"/>
        <v>1</v>
      </c>
      <c r="H163" t="s">
        <v>32</v>
      </c>
      <c r="I163">
        <f t="shared" si="34"/>
        <v>0</v>
      </c>
      <c r="J163">
        <f t="shared" si="41"/>
        <v>18947</v>
      </c>
      <c r="K163" s="15">
        <f t="shared" si="35"/>
        <v>680</v>
      </c>
      <c r="L163" s="15">
        <f t="shared" si="36"/>
        <v>345</v>
      </c>
      <c r="M163">
        <v>8</v>
      </c>
      <c r="N163">
        <v>16</v>
      </c>
      <c r="O163">
        <v>7</v>
      </c>
      <c r="P163">
        <v>6</v>
      </c>
      <c r="Q163" s="9">
        <v>143.53800000000001</v>
      </c>
      <c r="R163">
        <v>10</v>
      </c>
      <c r="S163" t="s">
        <v>68</v>
      </c>
      <c r="T163" s="11">
        <f t="shared" si="37"/>
        <v>22</v>
      </c>
      <c r="U163" s="11">
        <f t="shared" si="38"/>
        <v>22</v>
      </c>
      <c r="V163" t="str">
        <f t="shared" si="39"/>
        <v>ST6 1AW</v>
      </c>
      <c r="W163" t="str">
        <f t="shared" si="40"/>
        <v>SE7 8BL</v>
      </c>
      <c r="X163" s="12">
        <v>3494</v>
      </c>
      <c r="Y163" s="15">
        <f t="shared" si="30"/>
        <v>23</v>
      </c>
    </row>
    <row r="164" spans="1:25" x14ac:dyDescent="0.2">
      <c r="A164" t="s">
        <v>3</v>
      </c>
      <c r="B164" s="1">
        <v>42661</v>
      </c>
      <c r="C164" s="2" t="str">
        <f t="shared" si="31"/>
        <v>Tue</v>
      </c>
      <c r="D164" t="s">
        <v>20</v>
      </c>
      <c r="E164" t="s">
        <v>5</v>
      </c>
      <c r="F164" t="str">
        <f t="shared" si="32"/>
        <v>E</v>
      </c>
      <c r="G164">
        <f t="shared" si="33"/>
        <v>1</v>
      </c>
      <c r="H164" t="s">
        <v>32</v>
      </c>
      <c r="I164">
        <f t="shared" si="34"/>
        <v>0</v>
      </c>
      <c r="J164">
        <f t="shared" si="41"/>
        <v>9875</v>
      </c>
      <c r="K164" s="15">
        <f t="shared" si="35"/>
        <v>1622</v>
      </c>
      <c r="L164" s="15">
        <f t="shared" si="36"/>
        <v>285</v>
      </c>
      <c r="M164">
        <v>24</v>
      </c>
      <c r="N164">
        <v>6</v>
      </c>
      <c r="O164">
        <v>2</v>
      </c>
      <c r="P164">
        <v>11</v>
      </c>
      <c r="Q164" s="9">
        <v>71.043000000000006</v>
      </c>
      <c r="R164">
        <v>10</v>
      </c>
      <c r="S164" t="s">
        <v>68</v>
      </c>
      <c r="T164" s="11">
        <f t="shared" si="37"/>
        <v>20</v>
      </c>
      <c r="U164" s="11">
        <f t="shared" si="38"/>
        <v>20</v>
      </c>
      <c r="V164" t="str">
        <f t="shared" si="39"/>
        <v>SY2 6ST</v>
      </c>
      <c r="W164" t="str">
        <f t="shared" si="40"/>
        <v>S2 4SU</v>
      </c>
      <c r="X164" s="12">
        <v>5460</v>
      </c>
      <c r="Y164" s="15">
        <f t="shared" si="30"/>
        <v>22</v>
      </c>
    </row>
    <row r="165" spans="1:25" x14ac:dyDescent="0.2">
      <c r="A165" t="s">
        <v>3</v>
      </c>
      <c r="B165" s="1">
        <v>42661</v>
      </c>
      <c r="C165" s="2" t="str">
        <f t="shared" si="31"/>
        <v>Tue</v>
      </c>
      <c r="D165" t="s">
        <v>24</v>
      </c>
      <c r="E165" t="s">
        <v>16</v>
      </c>
      <c r="F165" t="str">
        <f t="shared" si="32"/>
        <v>E</v>
      </c>
      <c r="G165">
        <f t="shared" si="33"/>
        <v>1</v>
      </c>
      <c r="H165" t="s">
        <v>32</v>
      </c>
      <c r="I165">
        <f t="shared" si="34"/>
        <v>0</v>
      </c>
      <c r="J165">
        <f t="shared" si="41"/>
        <v>15728</v>
      </c>
      <c r="K165" s="15">
        <f t="shared" si="35"/>
        <v>497</v>
      </c>
      <c r="L165" s="15">
        <f t="shared" si="36"/>
        <v>345</v>
      </c>
      <c r="M165">
        <v>20</v>
      </c>
      <c r="N165">
        <v>5</v>
      </c>
      <c r="O165">
        <v>5</v>
      </c>
      <c r="P165">
        <v>12</v>
      </c>
      <c r="Q165" s="9">
        <v>143.13999999999999</v>
      </c>
      <c r="R165">
        <v>13</v>
      </c>
      <c r="T165" s="11">
        <f t="shared" si="37"/>
        <v>19</v>
      </c>
      <c r="U165" s="11">
        <f t="shared" si="38"/>
        <v>19</v>
      </c>
      <c r="V165" t="str">
        <f t="shared" si="39"/>
        <v>SN1 2ED</v>
      </c>
      <c r="W165" t="str">
        <f t="shared" si="40"/>
        <v>OL11 5DR</v>
      </c>
      <c r="X165" s="12">
        <v>6048</v>
      </c>
      <c r="Y165" s="15">
        <f t="shared" si="30"/>
        <v>25</v>
      </c>
    </row>
    <row r="166" spans="1:25" x14ac:dyDescent="0.2">
      <c r="A166" t="s">
        <v>3</v>
      </c>
      <c r="B166" s="1">
        <v>42665</v>
      </c>
      <c r="C166" s="2" t="str">
        <f t="shared" si="31"/>
        <v>Sat</v>
      </c>
      <c r="D166" t="s">
        <v>6</v>
      </c>
      <c r="E166" t="s">
        <v>5</v>
      </c>
      <c r="F166" t="str">
        <f t="shared" si="32"/>
        <v>D</v>
      </c>
      <c r="G166">
        <f t="shared" si="33"/>
        <v>0</v>
      </c>
      <c r="H166" t="s">
        <v>32</v>
      </c>
      <c r="I166">
        <f t="shared" si="34"/>
        <v>0</v>
      </c>
      <c r="J166">
        <f t="shared" si="41"/>
        <v>25136</v>
      </c>
      <c r="K166" s="15">
        <f t="shared" si="35"/>
        <v>1622</v>
      </c>
      <c r="L166" s="15">
        <f t="shared" si="36"/>
        <v>149</v>
      </c>
      <c r="M166">
        <v>2</v>
      </c>
      <c r="N166">
        <v>4</v>
      </c>
      <c r="O166">
        <v>8</v>
      </c>
      <c r="P166">
        <v>11</v>
      </c>
      <c r="Q166" s="9">
        <v>32.262</v>
      </c>
      <c r="R166">
        <v>8</v>
      </c>
      <c r="S166" t="s">
        <v>68</v>
      </c>
      <c r="T166" s="11">
        <f t="shared" si="37"/>
        <v>25</v>
      </c>
      <c r="U166" s="11">
        <f t="shared" si="38"/>
        <v>20</v>
      </c>
      <c r="V166" t="str">
        <f t="shared" si="39"/>
        <v>BD8 7DY</v>
      </c>
      <c r="W166" t="str">
        <f t="shared" si="40"/>
        <v>S2 4SU</v>
      </c>
      <c r="X166" s="12">
        <v>20972</v>
      </c>
      <c r="Y166" s="15">
        <f t="shared" si="30"/>
        <v>25</v>
      </c>
    </row>
    <row r="167" spans="1:25" x14ac:dyDescent="0.2">
      <c r="A167" t="s">
        <v>3</v>
      </c>
      <c r="B167" s="1">
        <v>42665</v>
      </c>
      <c r="C167" s="2" t="str">
        <f t="shared" si="31"/>
        <v>Sat</v>
      </c>
      <c r="D167" t="s">
        <v>15</v>
      </c>
      <c r="E167" t="s">
        <v>18</v>
      </c>
      <c r="F167" t="str">
        <f t="shared" si="32"/>
        <v>D</v>
      </c>
      <c r="G167">
        <f t="shared" si="33"/>
        <v>0</v>
      </c>
      <c r="H167" t="s">
        <v>32</v>
      </c>
      <c r="I167">
        <f t="shared" si="34"/>
        <v>0</v>
      </c>
      <c r="J167">
        <f t="shared" si="41"/>
        <v>10504</v>
      </c>
      <c r="K167" s="15">
        <f t="shared" si="35"/>
        <v>508</v>
      </c>
      <c r="L167" s="15">
        <f t="shared" si="36"/>
        <v>345</v>
      </c>
      <c r="M167">
        <v>22</v>
      </c>
      <c r="N167">
        <v>1</v>
      </c>
      <c r="O167">
        <v>1</v>
      </c>
      <c r="P167">
        <v>10</v>
      </c>
      <c r="Q167" s="9">
        <v>37.866999999999997</v>
      </c>
      <c r="R167">
        <v>11</v>
      </c>
      <c r="T167" s="11">
        <f t="shared" si="37"/>
        <v>22</v>
      </c>
      <c r="U167" s="11">
        <f t="shared" si="38"/>
        <v>20</v>
      </c>
      <c r="V167" t="str">
        <f t="shared" si="39"/>
        <v>S41 8NZ</v>
      </c>
      <c r="W167" t="str">
        <f t="shared" si="40"/>
        <v>DN15 8TD</v>
      </c>
      <c r="X167" s="12">
        <v>6328</v>
      </c>
      <c r="Y167" s="15">
        <f t="shared" si="30"/>
        <v>26</v>
      </c>
    </row>
    <row r="168" spans="1:25" x14ac:dyDescent="0.2">
      <c r="A168" t="s">
        <v>3</v>
      </c>
      <c r="B168" s="1">
        <v>42665</v>
      </c>
      <c r="C168" s="2" t="str">
        <f t="shared" si="31"/>
        <v>Sat</v>
      </c>
      <c r="D168" t="s">
        <v>25</v>
      </c>
      <c r="E168" t="s">
        <v>16</v>
      </c>
      <c r="F168" t="str">
        <f t="shared" si="32"/>
        <v>D</v>
      </c>
      <c r="G168">
        <f t="shared" si="33"/>
        <v>0</v>
      </c>
      <c r="H168" t="s">
        <v>32</v>
      </c>
      <c r="I168">
        <f t="shared" si="34"/>
        <v>0</v>
      </c>
      <c r="J168">
        <f t="shared" si="41"/>
        <v>32609</v>
      </c>
      <c r="K168" s="15">
        <f t="shared" si="35"/>
        <v>497</v>
      </c>
      <c r="L168" s="15">
        <f t="shared" si="36"/>
        <v>299</v>
      </c>
      <c r="M168">
        <v>21</v>
      </c>
      <c r="N168">
        <v>6</v>
      </c>
      <c r="O168">
        <v>10</v>
      </c>
      <c r="P168">
        <v>9</v>
      </c>
      <c r="Q168" s="9">
        <v>85.82</v>
      </c>
      <c r="R168">
        <v>12</v>
      </c>
      <c r="T168" s="11">
        <f t="shared" si="37"/>
        <v>22</v>
      </c>
      <c r="U168" s="11">
        <f t="shared" si="38"/>
        <v>22</v>
      </c>
      <c r="V168" t="str">
        <f t="shared" si="39"/>
        <v>CV6 6GE</v>
      </c>
      <c r="W168" t="str">
        <f t="shared" si="40"/>
        <v>OL11 5DR</v>
      </c>
      <c r="X168" s="12">
        <v>8133</v>
      </c>
      <c r="Y168" s="15">
        <f t="shared" si="30"/>
        <v>26</v>
      </c>
    </row>
    <row r="169" spans="1:25" x14ac:dyDescent="0.2">
      <c r="A169" t="s">
        <v>3</v>
      </c>
      <c r="B169" s="1">
        <v>42665</v>
      </c>
      <c r="C169" s="2" t="str">
        <f t="shared" si="31"/>
        <v>Sat</v>
      </c>
      <c r="D169" t="s">
        <v>23</v>
      </c>
      <c r="E169" t="s">
        <v>9</v>
      </c>
      <c r="F169" t="str">
        <f t="shared" si="32"/>
        <v>D</v>
      </c>
      <c r="G169">
        <f t="shared" si="33"/>
        <v>0</v>
      </c>
      <c r="H169" t="s">
        <v>32</v>
      </c>
      <c r="I169">
        <f t="shared" si="34"/>
        <v>0</v>
      </c>
      <c r="J169">
        <f t="shared" si="41"/>
        <v>11582</v>
      </c>
      <c r="K169" s="15">
        <f t="shared" si="35"/>
        <v>680</v>
      </c>
      <c r="L169" s="15">
        <f t="shared" si="36"/>
        <v>285</v>
      </c>
      <c r="M169">
        <v>18</v>
      </c>
      <c r="N169">
        <v>15</v>
      </c>
      <c r="O169">
        <v>2</v>
      </c>
      <c r="P169">
        <v>6</v>
      </c>
      <c r="Q169" s="9">
        <v>23.600999999999999</v>
      </c>
      <c r="R169">
        <v>11</v>
      </c>
      <c r="T169" s="11">
        <f t="shared" si="37"/>
        <v>12</v>
      </c>
      <c r="U169" s="11">
        <f t="shared" si="38"/>
        <v>10</v>
      </c>
      <c r="V169" t="str">
        <f t="shared" si="39"/>
        <v>ME7 4DD</v>
      </c>
      <c r="W169" t="str">
        <f t="shared" si="40"/>
        <v>SE7 8BL</v>
      </c>
      <c r="X169" s="12">
        <v>8670</v>
      </c>
      <c r="Y169" s="15">
        <f t="shared" si="30"/>
        <v>28</v>
      </c>
    </row>
    <row r="170" spans="1:25" x14ac:dyDescent="0.2">
      <c r="A170" t="s">
        <v>3</v>
      </c>
      <c r="B170" s="1">
        <v>42665</v>
      </c>
      <c r="C170" s="2" t="str">
        <f t="shared" si="31"/>
        <v>Sat</v>
      </c>
      <c r="D170" t="s">
        <v>10</v>
      </c>
      <c r="E170" t="s">
        <v>13</v>
      </c>
      <c r="F170" t="str">
        <f t="shared" si="32"/>
        <v>D</v>
      </c>
      <c r="G170">
        <f t="shared" si="33"/>
        <v>0</v>
      </c>
      <c r="H170" t="s">
        <v>32</v>
      </c>
      <c r="I170">
        <f t="shared" si="34"/>
        <v>0</v>
      </c>
      <c r="J170">
        <f t="shared" si="41"/>
        <v>20146</v>
      </c>
      <c r="K170" s="15">
        <f t="shared" si="35"/>
        <v>210</v>
      </c>
      <c r="L170" s="15">
        <f t="shared" si="36"/>
        <v>333</v>
      </c>
      <c r="M170">
        <v>20</v>
      </c>
      <c r="N170">
        <v>11</v>
      </c>
      <c r="O170">
        <v>6</v>
      </c>
      <c r="P170">
        <v>7</v>
      </c>
      <c r="Q170" s="9">
        <v>209.179</v>
      </c>
      <c r="R170">
        <v>11</v>
      </c>
      <c r="T170" s="11">
        <f t="shared" si="37"/>
        <v>22</v>
      </c>
      <c r="U170" s="11">
        <f t="shared" si="38"/>
        <v>23</v>
      </c>
      <c r="V170" t="str">
        <f t="shared" si="39"/>
        <v>SE16 3LN</v>
      </c>
      <c r="W170" t="str">
        <f t="shared" si="40"/>
        <v>FY7 6TX</v>
      </c>
      <c r="X170" s="12">
        <v>8085</v>
      </c>
      <c r="Y170" s="15">
        <f t="shared" si="30"/>
        <v>30</v>
      </c>
    </row>
    <row r="171" spans="1:25" x14ac:dyDescent="0.2">
      <c r="A171" t="s">
        <v>3</v>
      </c>
      <c r="B171" s="1">
        <v>42665</v>
      </c>
      <c r="C171" s="2" t="str">
        <f t="shared" si="31"/>
        <v>Sat</v>
      </c>
      <c r="D171" t="s">
        <v>21</v>
      </c>
      <c r="E171" t="s">
        <v>22</v>
      </c>
      <c r="F171" t="str">
        <f t="shared" si="32"/>
        <v>D</v>
      </c>
      <c r="G171">
        <f t="shared" si="33"/>
        <v>0</v>
      </c>
      <c r="H171" t="s">
        <v>32</v>
      </c>
      <c r="I171">
        <f t="shared" si="34"/>
        <v>0</v>
      </c>
      <c r="J171">
        <f t="shared" si="41"/>
        <v>30500</v>
      </c>
      <c r="K171" s="15">
        <f t="shared" si="35"/>
        <v>635</v>
      </c>
      <c r="L171" s="15">
        <f t="shared" si="36"/>
        <v>312</v>
      </c>
      <c r="M171">
        <v>17</v>
      </c>
      <c r="N171">
        <v>20</v>
      </c>
      <c r="O171">
        <v>4</v>
      </c>
      <c r="P171">
        <v>8</v>
      </c>
      <c r="Q171" s="9">
        <v>69.34</v>
      </c>
      <c r="R171">
        <v>10</v>
      </c>
      <c r="T171" s="11">
        <f t="shared" si="37"/>
        <v>22</v>
      </c>
      <c r="U171" s="11">
        <f t="shared" si="38"/>
        <v>22</v>
      </c>
      <c r="V171" t="str">
        <f t="shared" si="39"/>
        <v>MK1 1ST</v>
      </c>
      <c r="W171" t="str">
        <f t="shared" si="40"/>
        <v>SS2 6NQ</v>
      </c>
      <c r="X171" s="12">
        <v>11039</v>
      </c>
      <c r="Y171" s="15">
        <f t="shared" si="30"/>
        <v>27</v>
      </c>
    </row>
    <row r="172" spans="1:25" x14ac:dyDescent="0.2">
      <c r="A172" t="s">
        <v>3</v>
      </c>
      <c r="B172" s="1">
        <v>42665</v>
      </c>
      <c r="C172" s="2" t="str">
        <f t="shared" si="31"/>
        <v>Sat</v>
      </c>
      <c r="D172" t="s">
        <v>11</v>
      </c>
      <c r="E172" t="s">
        <v>19</v>
      </c>
      <c r="F172" t="str">
        <f t="shared" si="32"/>
        <v>D</v>
      </c>
      <c r="G172">
        <f t="shared" si="33"/>
        <v>0</v>
      </c>
      <c r="H172" t="s">
        <v>32</v>
      </c>
      <c r="I172">
        <f t="shared" si="34"/>
        <v>0</v>
      </c>
      <c r="J172">
        <f t="shared" si="41"/>
        <v>13559</v>
      </c>
      <c r="K172" s="15">
        <f t="shared" si="35"/>
        <v>1159</v>
      </c>
      <c r="L172" s="15">
        <f t="shared" si="36"/>
        <v>300</v>
      </c>
      <c r="M172">
        <v>22</v>
      </c>
      <c r="N172">
        <v>10</v>
      </c>
      <c r="O172">
        <v>6</v>
      </c>
      <c r="P172">
        <v>10</v>
      </c>
      <c r="Q172" s="9">
        <v>144.35900000000001</v>
      </c>
      <c r="R172">
        <v>13</v>
      </c>
      <c r="T172" s="11">
        <f t="shared" si="37"/>
        <v>22</v>
      </c>
      <c r="U172" s="11">
        <f t="shared" si="38"/>
        <v>24</v>
      </c>
      <c r="V172" t="str">
        <f t="shared" si="39"/>
        <v>OL1 2PA</v>
      </c>
      <c r="W172" t="str">
        <f t="shared" si="40"/>
        <v>BS7 0BF</v>
      </c>
      <c r="X172" s="12">
        <v>4394</v>
      </c>
      <c r="Y172" s="15">
        <f t="shared" si="30"/>
        <v>24</v>
      </c>
    </row>
    <row r="173" spans="1:25" x14ac:dyDescent="0.2">
      <c r="A173" t="s">
        <v>3</v>
      </c>
      <c r="B173" s="1">
        <v>42665</v>
      </c>
      <c r="C173" s="2" t="str">
        <f t="shared" si="31"/>
        <v>Sat</v>
      </c>
      <c r="D173" t="s">
        <v>17</v>
      </c>
      <c r="E173" t="s">
        <v>27</v>
      </c>
      <c r="F173" t="str">
        <f t="shared" si="32"/>
        <v>D</v>
      </c>
      <c r="G173">
        <f t="shared" si="33"/>
        <v>0</v>
      </c>
      <c r="H173" t="s">
        <v>32</v>
      </c>
      <c r="I173">
        <f t="shared" si="34"/>
        <v>0</v>
      </c>
      <c r="J173">
        <f t="shared" si="41"/>
        <v>15314</v>
      </c>
      <c r="K173" s="15">
        <f t="shared" si="35"/>
        <v>622</v>
      </c>
      <c r="L173" s="15">
        <f t="shared" si="36"/>
        <v>295</v>
      </c>
      <c r="M173">
        <v>8</v>
      </c>
      <c r="N173">
        <v>10</v>
      </c>
      <c r="O173">
        <v>7</v>
      </c>
      <c r="P173">
        <v>13</v>
      </c>
      <c r="Q173" s="9">
        <v>80.203000000000003</v>
      </c>
      <c r="R173">
        <v>9</v>
      </c>
      <c r="T173" s="11">
        <f t="shared" si="37"/>
        <v>21</v>
      </c>
      <c r="U173" s="11">
        <f t="shared" si="38"/>
        <v>20</v>
      </c>
      <c r="V173" t="str">
        <f t="shared" si="39"/>
        <v>PE2 8AL</v>
      </c>
      <c r="W173" t="str">
        <f t="shared" si="40"/>
        <v>KT1 3PB</v>
      </c>
      <c r="X173" s="12">
        <v>6642</v>
      </c>
      <c r="Y173" s="15">
        <f t="shared" si="30"/>
        <v>26</v>
      </c>
    </row>
    <row r="174" spans="1:25" x14ac:dyDescent="0.2">
      <c r="A174" t="s">
        <v>3</v>
      </c>
      <c r="B174" s="1">
        <v>42665</v>
      </c>
      <c r="C174" s="2" t="str">
        <f t="shared" si="31"/>
        <v>Sat</v>
      </c>
      <c r="D174" t="s">
        <v>7</v>
      </c>
      <c r="E174" t="s">
        <v>14</v>
      </c>
      <c r="F174" t="str">
        <f t="shared" si="32"/>
        <v>D</v>
      </c>
      <c r="G174">
        <f t="shared" si="33"/>
        <v>0</v>
      </c>
      <c r="H174" t="s">
        <v>32</v>
      </c>
      <c r="I174">
        <f t="shared" si="34"/>
        <v>0</v>
      </c>
      <c r="J174">
        <f t="shared" si="41"/>
        <v>18947</v>
      </c>
      <c r="K174" s="15">
        <f t="shared" si="35"/>
        <v>1000</v>
      </c>
      <c r="L174" s="15">
        <f t="shared" si="36"/>
        <v>345</v>
      </c>
      <c r="M174">
        <v>7</v>
      </c>
      <c r="N174">
        <v>14</v>
      </c>
      <c r="O174">
        <v>5</v>
      </c>
      <c r="P174">
        <v>7</v>
      </c>
      <c r="Q174" s="9">
        <v>101.093</v>
      </c>
      <c r="R174">
        <v>13</v>
      </c>
      <c r="T174" s="11">
        <f t="shared" si="37"/>
        <v>22</v>
      </c>
      <c r="U174" s="11">
        <f t="shared" si="38"/>
        <v>22</v>
      </c>
      <c r="V174" t="str">
        <f t="shared" si="39"/>
        <v>ST6 1AW</v>
      </c>
      <c r="W174" t="str">
        <f t="shared" si="40"/>
        <v>OX4 4XP</v>
      </c>
      <c r="X174" s="12">
        <v>4837</v>
      </c>
      <c r="Y174" s="15">
        <f t="shared" si="30"/>
        <v>23</v>
      </c>
    </row>
    <row r="175" spans="1:25" x14ac:dyDescent="0.2">
      <c r="A175" t="s">
        <v>3</v>
      </c>
      <c r="B175" s="1">
        <v>42665</v>
      </c>
      <c r="C175" s="2" t="str">
        <f t="shared" si="31"/>
        <v>Sat</v>
      </c>
      <c r="D175" t="s">
        <v>20</v>
      </c>
      <c r="E175" t="s">
        <v>12</v>
      </c>
      <c r="F175" t="str">
        <f t="shared" si="32"/>
        <v>D</v>
      </c>
      <c r="G175">
        <f t="shared" si="33"/>
        <v>0</v>
      </c>
      <c r="H175" t="s">
        <v>32</v>
      </c>
      <c r="I175">
        <f t="shared" si="34"/>
        <v>0</v>
      </c>
      <c r="J175">
        <f t="shared" si="41"/>
        <v>9875</v>
      </c>
      <c r="K175" s="15">
        <f t="shared" si="35"/>
        <v>843</v>
      </c>
      <c r="L175" s="15">
        <f t="shared" si="36"/>
        <v>285</v>
      </c>
      <c r="M175">
        <v>24</v>
      </c>
      <c r="N175">
        <v>13</v>
      </c>
      <c r="O175">
        <v>1</v>
      </c>
      <c r="P175">
        <v>4</v>
      </c>
      <c r="Q175" s="9">
        <v>82.691999999999993</v>
      </c>
      <c r="R175">
        <v>7</v>
      </c>
      <c r="S175" t="s">
        <v>72</v>
      </c>
      <c r="T175" s="11">
        <f t="shared" si="37"/>
        <v>20</v>
      </c>
      <c r="U175" s="11">
        <f t="shared" si="38"/>
        <v>20</v>
      </c>
      <c r="V175" t="str">
        <f t="shared" si="39"/>
        <v>SY2 6ST</v>
      </c>
      <c r="W175" t="str">
        <f t="shared" si="40"/>
        <v>NN5 5QA</v>
      </c>
      <c r="X175" s="12">
        <v>5023</v>
      </c>
      <c r="Y175" s="15">
        <f t="shared" si="30"/>
        <v>22</v>
      </c>
    </row>
    <row r="176" spans="1:25" x14ac:dyDescent="0.2">
      <c r="A176" t="s">
        <v>3</v>
      </c>
      <c r="B176" s="1">
        <v>42665</v>
      </c>
      <c r="C176" s="2" t="str">
        <f t="shared" si="31"/>
        <v>Sat</v>
      </c>
      <c r="D176" t="s">
        <v>24</v>
      </c>
      <c r="E176" t="s">
        <v>26</v>
      </c>
      <c r="F176" t="str">
        <f t="shared" si="32"/>
        <v>D</v>
      </c>
      <c r="G176">
        <f t="shared" si="33"/>
        <v>0</v>
      </c>
      <c r="H176" t="s">
        <v>32</v>
      </c>
      <c r="I176">
        <f t="shared" si="34"/>
        <v>0</v>
      </c>
      <c r="J176">
        <f t="shared" si="41"/>
        <v>15728</v>
      </c>
      <c r="K176" s="15">
        <f t="shared" si="35"/>
        <v>792</v>
      </c>
      <c r="L176" s="15">
        <f t="shared" si="36"/>
        <v>345</v>
      </c>
      <c r="M176">
        <v>18</v>
      </c>
      <c r="N176">
        <v>11</v>
      </c>
      <c r="O176">
        <v>5</v>
      </c>
      <c r="P176">
        <v>10</v>
      </c>
      <c r="Q176" s="9">
        <v>69.858000000000004</v>
      </c>
      <c r="R176">
        <v>7</v>
      </c>
      <c r="T176" s="11">
        <f t="shared" si="37"/>
        <v>19</v>
      </c>
      <c r="U176" s="11">
        <f t="shared" si="38"/>
        <v>19</v>
      </c>
      <c r="V176" t="str">
        <f t="shared" si="39"/>
        <v>SN1 2ED</v>
      </c>
      <c r="W176" t="str">
        <f t="shared" si="40"/>
        <v>WS1 4SA</v>
      </c>
      <c r="X176" s="12">
        <v>6655</v>
      </c>
      <c r="Y176" s="15">
        <f t="shared" si="30"/>
        <v>25</v>
      </c>
    </row>
    <row r="177" spans="1:25" x14ac:dyDescent="0.2">
      <c r="A177" t="s">
        <v>3</v>
      </c>
      <c r="B177" s="1">
        <v>42667</v>
      </c>
      <c r="C177" s="2" t="str">
        <f t="shared" si="31"/>
        <v>Mon</v>
      </c>
      <c r="D177" t="s">
        <v>8</v>
      </c>
      <c r="E177" t="s">
        <v>4</v>
      </c>
      <c r="F177" t="str">
        <f t="shared" si="32"/>
        <v>E</v>
      </c>
      <c r="G177">
        <f t="shared" si="33"/>
        <v>1</v>
      </c>
      <c r="H177" t="s">
        <v>32</v>
      </c>
      <c r="I177">
        <f t="shared" si="34"/>
        <v>0</v>
      </c>
      <c r="J177">
        <f t="shared" si="41"/>
        <v>11841</v>
      </c>
      <c r="K177" s="15">
        <f t="shared" si="35"/>
        <v>912</v>
      </c>
      <c r="L177" s="15">
        <f t="shared" si="36"/>
        <v>275</v>
      </c>
      <c r="M177">
        <v>11</v>
      </c>
      <c r="N177">
        <v>4</v>
      </c>
      <c r="O177">
        <v>0</v>
      </c>
      <c r="P177">
        <v>12</v>
      </c>
      <c r="Q177" s="9">
        <v>9.91</v>
      </c>
      <c r="R177">
        <v>9</v>
      </c>
      <c r="T177" s="11">
        <f t="shared" si="37"/>
        <v>18</v>
      </c>
      <c r="U177" s="11">
        <f t="shared" si="38"/>
        <v>18</v>
      </c>
      <c r="V177" t="str">
        <f t="shared" si="39"/>
        <v>BL9 9HR</v>
      </c>
      <c r="W177" t="str">
        <f t="shared" si="40"/>
        <v>BL6 6JW</v>
      </c>
      <c r="X177" s="12">
        <v>8007</v>
      </c>
      <c r="Y177" s="15">
        <f t="shared" si="30"/>
        <v>22</v>
      </c>
    </row>
    <row r="178" spans="1:25" x14ac:dyDescent="0.2">
      <c r="A178" t="s">
        <v>3</v>
      </c>
      <c r="B178" s="1">
        <v>42672</v>
      </c>
      <c r="C178" s="2" t="str">
        <f t="shared" si="31"/>
        <v>Sat</v>
      </c>
      <c r="D178" t="s">
        <v>27</v>
      </c>
      <c r="E178" t="s">
        <v>6</v>
      </c>
      <c r="F178" t="str">
        <f t="shared" si="32"/>
        <v>D</v>
      </c>
      <c r="G178">
        <f t="shared" si="33"/>
        <v>0</v>
      </c>
      <c r="H178" t="s">
        <v>32</v>
      </c>
      <c r="I178">
        <f t="shared" si="34"/>
        <v>0</v>
      </c>
      <c r="J178">
        <f t="shared" si="41"/>
        <v>4850</v>
      </c>
      <c r="K178" s="15">
        <f t="shared" si="35"/>
        <v>1437</v>
      </c>
      <c r="L178" s="15">
        <f t="shared" si="36"/>
        <v>260</v>
      </c>
      <c r="M178">
        <v>6</v>
      </c>
      <c r="N178">
        <v>3</v>
      </c>
      <c r="O178">
        <v>10</v>
      </c>
      <c r="P178">
        <v>8</v>
      </c>
      <c r="Q178" s="9">
        <v>177.071</v>
      </c>
      <c r="R178">
        <v>15</v>
      </c>
      <c r="T178" s="11">
        <f t="shared" si="37"/>
        <v>17</v>
      </c>
      <c r="U178" s="11">
        <f t="shared" si="38"/>
        <v>17</v>
      </c>
      <c r="V178" t="str">
        <f t="shared" si="39"/>
        <v>KT1 3PB</v>
      </c>
      <c r="W178" t="str">
        <f t="shared" si="40"/>
        <v>BD8 7DY</v>
      </c>
      <c r="X178" s="12">
        <v>4826</v>
      </c>
      <c r="Y178" s="15">
        <f t="shared" si="30"/>
        <v>29</v>
      </c>
    </row>
    <row r="179" spans="1:25" x14ac:dyDescent="0.2">
      <c r="A179" t="s">
        <v>3</v>
      </c>
      <c r="B179" s="1">
        <v>42672</v>
      </c>
      <c r="C179" s="2" t="str">
        <f t="shared" si="31"/>
        <v>Sat</v>
      </c>
      <c r="D179" t="s">
        <v>4</v>
      </c>
      <c r="E179" t="s">
        <v>7</v>
      </c>
      <c r="F179" t="str">
        <f t="shared" si="32"/>
        <v>D</v>
      </c>
      <c r="G179">
        <f t="shared" si="33"/>
        <v>0</v>
      </c>
      <c r="H179" t="s">
        <v>32</v>
      </c>
      <c r="I179">
        <f t="shared" si="34"/>
        <v>0</v>
      </c>
      <c r="J179">
        <f t="shared" si="41"/>
        <v>28723</v>
      </c>
      <c r="K179" s="15">
        <f t="shared" si="35"/>
        <v>697</v>
      </c>
      <c r="L179" s="15">
        <f t="shared" si="36"/>
        <v>280</v>
      </c>
      <c r="M179">
        <v>2</v>
      </c>
      <c r="N179">
        <v>8</v>
      </c>
      <c r="O179">
        <v>15</v>
      </c>
      <c r="P179">
        <v>5</v>
      </c>
      <c r="Q179" s="9">
        <v>39.314</v>
      </c>
      <c r="R179">
        <v>13</v>
      </c>
      <c r="T179" s="11">
        <f t="shared" si="37"/>
        <v>15</v>
      </c>
      <c r="U179" s="11">
        <f t="shared" si="38"/>
        <v>15</v>
      </c>
      <c r="V179" t="str">
        <f t="shared" si="39"/>
        <v>BL6 6JW</v>
      </c>
      <c r="W179" t="str">
        <f t="shared" si="40"/>
        <v>ST6 1AW</v>
      </c>
      <c r="X179" s="12">
        <v>13937</v>
      </c>
      <c r="Y179" s="15">
        <f t="shared" si="30"/>
        <v>30</v>
      </c>
    </row>
    <row r="180" spans="1:25" x14ac:dyDescent="0.2">
      <c r="A180" t="s">
        <v>3</v>
      </c>
      <c r="B180" s="1">
        <v>42672</v>
      </c>
      <c r="C180" s="2" t="str">
        <f t="shared" si="31"/>
        <v>Sat</v>
      </c>
      <c r="D180" t="s">
        <v>19</v>
      </c>
      <c r="E180" t="s">
        <v>17</v>
      </c>
      <c r="F180" t="str">
        <f t="shared" si="32"/>
        <v>D</v>
      </c>
      <c r="G180">
        <f t="shared" si="33"/>
        <v>0</v>
      </c>
      <c r="H180" t="s">
        <v>32</v>
      </c>
      <c r="I180">
        <f t="shared" si="34"/>
        <v>0</v>
      </c>
      <c r="J180">
        <f t="shared" si="41"/>
        <v>12000</v>
      </c>
      <c r="K180" s="15">
        <f t="shared" si="35"/>
        <v>598</v>
      </c>
      <c r="L180" s="15">
        <f t="shared" si="36"/>
        <v>260</v>
      </c>
      <c r="M180">
        <v>4</v>
      </c>
      <c r="N180">
        <v>12</v>
      </c>
      <c r="O180">
        <v>10</v>
      </c>
      <c r="P180">
        <v>9</v>
      </c>
      <c r="Q180" s="9">
        <v>124.574</v>
      </c>
      <c r="R180">
        <v>12</v>
      </c>
      <c r="T180" s="11">
        <f t="shared" si="37"/>
        <v>18</v>
      </c>
      <c r="U180" s="11">
        <f t="shared" si="38"/>
        <v>16</v>
      </c>
      <c r="V180" t="str">
        <f t="shared" si="39"/>
        <v>BS7 0BF</v>
      </c>
      <c r="W180" t="str">
        <f t="shared" si="40"/>
        <v>PE2 8AL</v>
      </c>
      <c r="X180" s="12">
        <v>9839</v>
      </c>
      <c r="Y180" s="15">
        <f t="shared" si="30"/>
        <v>26</v>
      </c>
    </row>
    <row r="181" spans="1:25" x14ac:dyDescent="0.2">
      <c r="A181" t="s">
        <v>3</v>
      </c>
      <c r="B181" s="1">
        <v>42672</v>
      </c>
      <c r="C181" s="2" t="str">
        <f t="shared" si="31"/>
        <v>Sat</v>
      </c>
      <c r="D181" t="s">
        <v>9</v>
      </c>
      <c r="E181" t="s">
        <v>15</v>
      </c>
      <c r="F181" t="str">
        <f t="shared" si="32"/>
        <v>D</v>
      </c>
      <c r="G181">
        <f t="shared" si="33"/>
        <v>0</v>
      </c>
      <c r="H181" t="s">
        <v>32</v>
      </c>
      <c r="I181">
        <f t="shared" si="34"/>
        <v>0</v>
      </c>
      <c r="J181">
        <f t="shared" si="41"/>
        <v>26875</v>
      </c>
      <c r="K181" s="15">
        <f t="shared" si="35"/>
        <v>583</v>
      </c>
      <c r="L181" s="15">
        <f t="shared" si="36"/>
        <v>175</v>
      </c>
      <c r="M181">
        <v>17</v>
      </c>
      <c r="N181">
        <v>23</v>
      </c>
      <c r="O181">
        <v>8</v>
      </c>
      <c r="P181">
        <v>0</v>
      </c>
      <c r="Q181" s="9">
        <v>136.95599999999999</v>
      </c>
      <c r="R181">
        <v>11</v>
      </c>
      <c r="T181" s="11">
        <f t="shared" si="37"/>
        <v>20</v>
      </c>
      <c r="U181" s="11">
        <f t="shared" si="38"/>
        <v>20</v>
      </c>
      <c r="V181" t="str">
        <f t="shared" si="39"/>
        <v>SE7 8BL</v>
      </c>
      <c r="W181" t="str">
        <f t="shared" si="40"/>
        <v>S41 8NZ</v>
      </c>
      <c r="X181" s="12">
        <v>10153</v>
      </c>
      <c r="Y181" s="15">
        <f t="shared" si="30"/>
        <v>35</v>
      </c>
    </row>
    <row r="182" spans="1:25" x14ac:dyDescent="0.2">
      <c r="A182" t="s">
        <v>3</v>
      </c>
      <c r="B182" s="1">
        <v>42672</v>
      </c>
      <c r="C182" s="2" t="str">
        <f t="shared" si="31"/>
        <v>Sat</v>
      </c>
      <c r="D182" t="s">
        <v>13</v>
      </c>
      <c r="E182" t="s">
        <v>23</v>
      </c>
      <c r="F182" t="str">
        <f t="shared" si="32"/>
        <v>D</v>
      </c>
      <c r="G182">
        <f t="shared" si="33"/>
        <v>0</v>
      </c>
      <c r="H182" t="s">
        <v>32</v>
      </c>
      <c r="I182">
        <f t="shared" si="34"/>
        <v>0</v>
      </c>
      <c r="J182">
        <f t="shared" si="41"/>
        <v>5327</v>
      </c>
      <c r="K182" s="15">
        <f t="shared" si="35"/>
        <v>533</v>
      </c>
      <c r="L182" s="15">
        <f t="shared" si="36"/>
        <v>210</v>
      </c>
      <c r="M182">
        <v>14</v>
      </c>
      <c r="N182">
        <v>19</v>
      </c>
      <c r="O182">
        <v>10</v>
      </c>
      <c r="P182">
        <v>2</v>
      </c>
      <c r="Q182" s="9">
        <v>230.75700000000001</v>
      </c>
      <c r="R182">
        <v>12</v>
      </c>
      <c r="S182" t="s">
        <v>68</v>
      </c>
      <c r="T182" s="11">
        <f t="shared" si="37"/>
        <v>21.5</v>
      </c>
      <c r="U182" s="11">
        <f t="shared" si="38"/>
        <v>21.5</v>
      </c>
      <c r="V182" t="str">
        <f t="shared" si="39"/>
        <v>FY7 6TX</v>
      </c>
      <c r="W182" t="str">
        <f t="shared" si="40"/>
        <v>ME7 4DD</v>
      </c>
      <c r="X182" s="12">
        <v>2600</v>
      </c>
      <c r="Y182" s="15">
        <f t="shared" si="30"/>
        <v>23.5</v>
      </c>
    </row>
    <row r="183" spans="1:25" x14ac:dyDescent="0.2">
      <c r="A183" t="s">
        <v>3</v>
      </c>
      <c r="B183" s="1">
        <v>42672</v>
      </c>
      <c r="C183" s="2" t="str">
        <f t="shared" si="31"/>
        <v>Sat</v>
      </c>
      <c r="D183" t="s">
        <v>12</v>
      </c>
      <c r="E183" t="s">
        <v>8</v>
      </c>
      <c r="F183" t="str">
        <f t="shared" si="32"/>
        <v>D</v>
      </c>
      <c r="G183">
        <f t="shared" si="33"/>
        <v>0</v>
      </c>
      <c r="H183" t="s">
        <v>32</v>
      </c>
      <c r="I183">
        <f t="shared" si="34"/>
        <v>0</v>
      </c>
      <c r="J183">
        <f t="shared" si="41"/>
        <v>7653</v>
      </c>
      <c r="K183" s="15">
        <f t="shared" si="35"/>
        <v>608</v>
      </c>
      <c r="L183" s="15">
        <f t="shared" si="36"/>
        <v>249</v>
      </c>
      <c r="M183">
        <v>8</v>
      </c>
      <c r="N183">
        <v>11</v>
      </c>
      <c r="O183">
        <v>7</v>
      </c>
      <c r="P183">
        <v>0</v>
      </c>
      <c r="Q183" s="9">
        <v>109.05200000000001</v>
      </c>
      <c r="R183">
        <v>13</v>
      </c>
      <c r="T183" s="11">
        <f t="shared" si="37"/>
        <v>24</v>
      </c>
      <c r="U183" s="11">
        <f t="shared" si="38"/>
        <v>24</v>
      </c>
      <c r="V183" t="str">
        <f t="shared" si="39"/>
        <v>NN5 5QA</v>
      </c>
      <c r="W183" t="str">
        <f t="shared" si="40"/>
        <v>BL9 9HR</v>
      </c>
      <c r="X183" s="12">
        <v>5739</v>
      </c>
      <c r="Y183" s="15">
        <f t="shared" si="30"/>
        <v>24</v>
      </c>
    </row>
    <row r="184" spans="1:25" x14ac:dyDescent="0.2">
      <c r="A184" t="s">
        <v>3</v>
      </c>
      <c r="B184" s="1">
        <v>42672</v>
      </c>
      <c r="C184" s="2" t="str">
        <f t="shared" si="31"/>
        <v>Sat</v>
      </c>
      <c r="D184" t="s">
        <v>14</v>
      </c>
      <c r="E184" t="s">
        <v>10</v>
      </c>
      <c r="F184" t="str">
        <f t="shared" si="32"/>
        <v>D</v>
      </c>
      <c r="G184">
        <f t="shared" si="33"/>
        <v>0</v>
      </c>
      <c r="H184" t="s">
        <v>32</v>
      </c>
      <c r="I184">
        <f t="shared" si="34"/>
        <v>0</v>
      </c>
      <c r="J184">
        <f t="shared" si="41"/>
        <v>12500</v>
      </c>
      <c r="K184" s="15">
        <f t="shared" si="35"/>
        <v>827</v>
      </c>
      <c r="L184" s="15">
        <f t="shared" si="36"/>
        <v>290</v>
      </c>
      <c r="M184">
        <v>15</v>
      </c>
      <c r="N184">
        <v>16</v>
      </c>
      <c r="O184">
        <v>4</v>
      </c>
      <c r="P184">
        <v>9</v>
      </c>
      <c r="Q184" s="9">
        <v>52.319000000000003</v>
      </c>
      <c r="R184">
        <v>11</v>
      </c>
      <c r="S184" t="s">
        <v>68</v>
      </c>
      <c r="T184" s="11">
        <f t="shared" si="37"/>
        <v>20</v>
      </c>
      <c r="U184" s="11">
        <f t="shared" si="38"/>
        <v>21</v>
      </c>
      <c r="V184" t="str">
        <f t="shared" si="39"/>
        <v>OX4 4XP</v>
      </c>
      <c r="W184" t="str">
        <f t="shared" si="40"/>
        <v>SE16 3LN</v>
      </c>
      <c r="X184" s="12">
        <v>7944</v>
      </c>
      <c r="Y184" s="15">
        <f t="shared" si="30"/>
        <v>24</v>
      </c>
    </row>
    <row r="185" spans="1:25" x14ac:dyDescent="0.2">
      <c r="A185" t="s">
        <v>3</v>
      </c>
      <c r="B185" s="1">
        <v>42672</v>
      </c>
      <c r="C185" s="2" t="str">
        <f t="shared" si="31"/>
        <v>Sat</v>
      </c>
      <c r="D185" t="s">
        <v>16</v>
      </c>
      <c r="E185" t="s">
        <v>11</v>
      </c>
      <c r="F185" t="str">
        <f t="shared" si="32"/>
        <v>D</v>
      </c>
      <c r="G185">
        <f t="shared" si="33"/>
        <v>0</v>
      </c>
      <c r="H185" t="s">
        <v>32</v>
      </c>
      <c r="I185">
        <f t="shared" si="34"/>
        <v>0</v>
      </c>
      <c r="J185">
        <f t="shared" si="41"/>
        <v>10249</v>
      </c>
      <c r="K185" s="15">
        <f t="shared" si="35"/>
        <v>729</v>
      </c>
      <c r="L185" s="15">
        <f t="shared" si="36"/>
        <v>290</v>
      </c>
      <c r="M185">
        <v>10</v>
      </c>
      <c r="N185">
        <v>22</v>
      </c>
      <c r="O185">
        <v>9</v>
      </c>
      <c r="P185">
        <v>6</v>
      </c>
      <c r="Q185" s="9">
        <v>4.9669999999999996</v>
      </c>
      <c r="R185">
        <v>13</v>
      </c>
      <c r="T185" s="11">
        <f t="shared" si="37"/>
        <v>17</v>
      </c>
      <c r="U185" s="11">
        <f t="shared" si="38"/>
        <v>22</v>
      </c>
      <c r="V185" t="str">
        <f t="shared" si="39"/>
        <v>OL11 5DR</v>
      </c>
      <c r="W185" t="str">
        <f t="shared" si="40"/>
        <v>OL1 2PA</v>
      </c>
      <c r="X185" s="12">
        <v>5204</v>
      </c>
      <c r="Y185" s="15">
        <f t="shared" si="30"/>
        <v>22</v>
      </c>
    </row>
    <row r="186" spans="1:25" x14ac:dyDescent="0.2">
      <c r="A186" t="s">
        <v>3</v>
      </c>
      <c r="B186" s="1">
        <v>42672</v>
      </c>
      <c r="C186" s="2" t="str">
        <f t="shared" si="31"/>
        <v>Sat</v>
      </c>
      <c r="D186" t="s">
        <v>18</v>
      </c>
      <c r="E186" t="s">
        <v>24</v>
      </c>
      <c r="F186" t="str">
        <f t="shared" si="32"/>
        <v>D</v>
      </c>
      <c r="G186">
        <f t="shared" si="33"/>
        <v>0</v>
      </c>
      <c r="H186" t="s">
        <v>32</v>
      </c>
      <c r="I186">
        <f t="shared" si="34"/>
        <v>0</v>
      </c>
      <c r="J186">
        <f t="shared" si="41"/>
        <v>9183</v>
      </c>
      <c r="K186" s="15">
        <f t="shared" si="35"/>
        <v>503</v>
      </c>
      <c r="L186" s="15">
        <f t="shared" si="36"/>
        <v>288</v>
      </c>
      <c r="M186">
        <v>1</v>
      </c>
      <c r="N186">
        <v>21</v>
      </c>
      <c r="O186">
        <v>10</v>
      </c>
      <c r="P186">
        <v>4</v>
      </c>
      <c r="Q186" s="9">
        <v>146.959</v>
      </c>
      <c r="R186">
        <v>14</v>
      </c>
      <c r="T186" s="11">
        <f t="shared" si="37"/>
        <v>18</v>
      </c>
      <c r="U186" s="11">
        <f t="shared" si="38"/>
        <v>22</v>
      </c>
      <c r="V186" t="str">
        <f t="shared" si="39"/>
        <v>DN15 8TD</v>
      </c>
      <c r="W186" t="str">
        <f t="shared" si="40"/>
        <v>SN1 2ED</v>
      </c>
      <c r="X186" s="12">
        <v>4262</v>
      </c>
      <c r="Y186" s="15">
        <f t="shared" si="30"/>
        <v>23</v>
      </c>
    </row>
    <row r="187" spans="1:25" x14ac:dyDescent="0.2">
      <c r="A187" t="s">
        <v>3</v>
      </c>
      <c r="B187" s="1">
        <v>42672</v>
      </c>
      <c r="C187" s="2" t="str">
        <f t="shared" si="31"/>
        <v>Sat</v>
      </c>
      <c r="D187" t="s">
        <v>5</v>
      </c>
      <c r="E187" t="s">
        <v>21</v>
      </c>
      <c r="F187" t="str">
        <f t="shared" si="32"/>
        <v>D</v>
      </c>
      <c r="G187">
        <f t="shared" si="33"/>
        <v>0</v>
      </c>
      <c r="H187" t="s">
        <v>32</v>
      </c>
      <c r="I187">
        <f t="shared" si="34"/>
        <v>0</v>
      </c>
      <c r="J187">
        <f t="shared" si="41"/>
        <v>32702</v>
      </c>
      <c r="K187" s="15">
        <f t="shared" si="35"/>
        <v>596</v>
      </c>
      <c r="L187" s="15">
        <f t="shared" si="36"/>
        <v>288</v>
      </c>
      <c r="M187">
        <v>5</v>
      </c>
      <c r="N187">
        <v>20</v>
      </c>
      <c r="O187">
        <v>11</v>
      </c>
      <c r="P187">
        <v>1</v>
      </c>
      <c r="Q187" s="9">
        <v>98.921999999999997</v>
      </c>
      <c r="R187">
        <v>14</v>
      </c>
      <c r="T187" s="11">
        <f t="shared" si="37"/>
        <v>20</v>
      </c>
      <c r="U187" s="11">
        <f t="shared" si="38"/>
        <v>20</v>
      </c>
      <c r="V187" t="str">
        <f t="shared" si="39"/>
        <v>S2 4SU</v>
      </c>
      <c r="W187" t="str">
        <f t="shared" si="40"/>
        <v>MK1 1ST</v>
      </c>
      <c r="X187" s="12">
        <v>20495</v>
      </c>
      <c r="Y187" s="15">
        <f t="shared" si="30"/>
        <v>29</v>
      </c>
    </row>
    <row r="188" spans="1:25" x14ac:dyDescent="0.2">
      <c r="A188" t="s">
        <v>3</v>
      </c>
      <c r="B188" s="1">
        <v>42672</v>
      </c>
      <c r="C188" s="2" t="str">
        <f t="shared" si="31"/>
        <v>Sat</v>
      </c>
      <c r="D188" t="s">
        <v>22</v>
      </c>
      <c r="E188" t="s">
        <v>20</v>
      </c>
      <c r="F188" t="str">
        <f t="shared" si="32"/>
        <v>D</v>
      </c>
      <c r="G188">
        <f t="shared" si="33"/>
        <v>0</v>
      </c>
      <c r="H188" t="s">
        <v>32</v>
      </c>
      <c r="I188">
        <f t="shared" si="34"/>
        <v>0</v>
      </c>
      <c r="J188">
        <f t="shared" si="41"/>
        <v>12392</v>
      </c>
      <c r="K188" s="15">
        <f t="shared" si="35"/>
        <v>438</v>
      </c>
      <c r="L188" s="15">
        <f t="shared" si="36"/>
        <v>395</v>
      </c>
      <c r="M188">
        <v>16</v>
      </c>
      <c r="N188">
        <v>24</v>
      </c>
      <c r="O188">
        <v>8</v>
      </c>
      <c r="P188">
        <v>1</v>
      </c>
      <c r="Q188" s="9">
        <v>166.36799999999999</v>
      </c>
      <c r="R188">
        <v>10</v>
      </c>
      <c r="T188" s="11">
        <f t="shared" si="37"/>
        <v>25</v>
      </c>
      <c r="U188" s="11">
        <f t="shared" si="38"/>
        <v>22</v>
      </c>
      <c r="V188" t="str">
        <f t="shared" si="39"/>
        <v>SS2 6NQ</v>
      </c>
      <c r="W188" t="str">
        <f t="shared" si="40"/>
        <v>SY2 6ST</v>
      </c>
      <c r="X188" s="12">
        <v>7321</v>
      </c>
      <c r="Y188" s="15">
        <f t="shared" si="30"/>
        <v>25</v>
      </c>
    </row>
    <row r="189" spans="1:25" x14ac:dyDescent="0.2">
      <c r="A189" t="s">
        <v>3</v>
      </c>
      <c r="B189" s="1">
        <v>42672</v>
      </c>
      <c r="C189" s="2" t="str">
        <f t="shared" si="31"/>
        <v>Sat</v>
      </c>
      <c r="D189" t="s">
        <v>26</v>
      </c>
      <c r="E189" t="s">
        <v>25</v>
      </c>
      <c r="F189" t="str">
        <f t="shared" si="32"/>
        <v>D</v>
      </c>
      <c r="G189">
        <f t="shared" si="33"/>
        <v>0</v>
      </c>
      <c r="H189" t="s">
        <v>32</v>
      </c>
      <c r="I189">
        <f t="shared" si="34"/>
        <v>0</v>
      </c>
      <c r="J189">
        <f t="shared" si="41"/>
        <v>11300</v>
      </c>
      <c r="K189" s="15">
        <f t="shared" si="35"/>
        <v>1280</v>
      </c>
      <c r="L189" s="15">
        <f t="shared" si="36"/>
        <v>253</v>
      </c>
      <c r="M189">
        <v>7</v>
      </c>
      <c r="N189">
        <v>17</v>
      </c>
      <c r="O189">
        <v>11</v>
      </c>
      <c r="P189">
        <v>10</v>
      </c>
      <c r="Q189" s="9">
        <v>22.312999999999999</v>
      </c>
      <c r="R189">
        <v>13</v>
      </c>
      <c r="T189" s="11">
        <f t="shared" si="37"/>
        <v>20</v>
      </c>
      <c r="U189" s="11">
        <f t="shared" si="38"/>
        <v>20</v>
      </c>
      <c r="V189" t="str">
        <f t="shared" si="39"/>
        <v>WS1 4SA</v>
      </c>
      <c r="W189" t="str">
        <f t="shared" si="40"/>
        <v>CV6 6GE</v>
      </c>
      <c r="X189" s="12">
        <v>6719</v>
      </c>
      <c r="Y189" s="15">
        <f t="shared" si="30"/>
        <v>25.5</v>
      </c>
    </row>
    <row r="190" spans="1:25" x14ac:dyDescent="0.2">
      <c r="A190" t="s">
        <v>3</v>
      </c>
      <c r="B190" s="1">
        <v>42675</v>
      </c>
      <c r="C190" s="2" t="str">
        <f t="shared" si="31"/>
        <v>Tue</v>
      </c>
      <c r="D190" t="s">
        <v>19</v>
      </c>
      <c r="E190" t="s">
        <v>13</v>
      </c>
      <c r="F190" t="str">
        <f t="shared" si="32"/>
        <v>E</v>
      </c>
      <c r="G190">
        <f t="shared" si="33"/>
        <v>1</v>
      </c>
      <c r="H190" t="s">
        <v>32</v>
      </c>
      <c r="I190">
        <f t="shared" si="34"/>
        <v>0</v>
      </c>
      <c r="J190">
        <f t="shared" si="41"/>
        <v>12000</v>
      </c>
      <c r="K190" s="15">
        <f t="shared" si="35"/>
        <v>210</v>
      </c>
      <c r="L190" s="15">
        <f t="shared" si="36"/>
        <v>260</v>
      </c>
      <c r="M190">
        <v>8</v>
      </c>
      <c r="N190">
        <v>10</v>
      </c>
      <c r="O190">
        <v>10</v>
      </c>
      <c r="P190">
        <v>9</v>
      </c>
      <c r="Q190" s="9">
        <v>169.154</v>
      </c>
      <c r="R190">
        <v>9</v>
      </c>
      <c r="T190" s="11">
        <f t="shared" si="37"/>
        <v>18</v>
      </c>
      <c r="U190" s="11">
        <f t="shared" si="38"/>
        <v>16</v>
      </c>
      <c r="V190" t="str">
        <f t="shared" si="39"/>
        <v>BS7 0BF</v>
      </c>
      <c r="W190" t="str">
        <f t="shared" si="40"/>
        <v>FY7 6TX</v>
      </c>
      <c r="X190" s="12">
        <v>10088</v>
      </c>
      <c r="Y190" s="15">
        <f t="shared" si="30"/>
        <v>26</v>
      </c>
    </row>
    <row r="191" spans="1:25" x14ac:dyDescent="0.2">
      <c r="A191" t="s">
        <v>3</v>
      </c>
      <c r="B191" s="1">
        <v>42675</v>
      </c>
      <c r="C191" s="2" t="str">
        <f t="shared" si="31"/>
        <v>Tue</v>
      </c>
      <c r="D191" t="s">
        <v>25</v>
      </c>
      <c r="E191" t="s">
        <v>15</v>
      </c>
      <c r="F191" t="str">
        <f t="shared" si="32"/>
        <v>E</v>
      </c>
      <c r="G191">
        <f t="shared" si="33"/>
        <v>1</v>
      </c>
      <c r="H191" t="s">
        <v>32</v>
      </c>
      <c r="I191">
        <f t="shared" si="34"/>
        <v>0</v>
      </c>
      <c r="J191">
        <f t="shared" si="41"/>
        <v>32609</v>
      </c>
      <c r="K191" s="15">
        <f t="shared" si="35"/>
        <v>583</v>
      </c>
      <c r="L191" s="15">
        <f t="shared" si="36"/>
        <v>299</v>
      </c>
      <c r="M191">
        <v>19</v>
      </c>
      <c r="N191">
        <v>23</v>
      </c>
      <c r="O191">
        <v>10</v>
      </c>
      <c r="P191">
        <v>0</v>
      </c>
      <c r="Q191" s="9">
        <v>55.79</v>
      </c>
      <c r="R191">
        <v>6</v>
      </c>
      <c r="T191" s="11">
        <f t="shared" si="37"/>
        <v>22</v>
      </c>
      <c r="U191" s="11">
        <f t="shared" si="38"/>
        <v>22</v>
      </c>
      <c r="V191" t="str">
        <f t="shared" si="39"/>
        <v>CV6 6GE</v>
      </c>
      <c r="W191" t="str">
        <f t="shared" si="40"/>
        <v>S41 8NZ</v>
      </c>
      <c r="X191" s="12">
        <v>7941</v>
      </c>
      <c r="Y191" s="15">
        <f t="shared" si="30"/>
        <v>26</v>
      </c>
    </row>
    <row r="192" spans="1:25" x14ac:dyDescent="0.2">
      <c r="A192" t="s">
        <v>3</v>
      </c>
      <c r="B192" s="1">
        <v>42686</v>
      </c>
      <c r="C192" s="2" t="str">
        <f t="shared" si="31"/>
        <v>Sat</v>
      </c>
      <c r="D192" t="s">
        <v>6</v>
      </c>
      <c r="E192" t="s">
        <v>16</v>
      </c>
      <c r="F192" t="str">
        <f t="shared" si="32"/>
        <v>D</v>
      </c>
      <c r="G192">
        <f t="shared" si="33"/>
        <v>0</v>
      </c>
      <c r="H192" t="s">
        <v>32</v>
      </c>
      <c r="I192">
        <f t="shared" si="34"/>
        <v>0</v>
      </c>
      <c r="J192">
        <f t="shared" si="41"/>
        <v>25136</v>
      </c>
      <c r="K192" s="15">
        <f t="shared" si="35"/>
        <v>497</v>
      </c>
      <c r="L192" s="15">
        <f t="shared" si="36"/>
        <v>149</v>
      </c>
      <c r="M192">
        <v>3</v>
      </c>
      <c r="N192">
        <v>7</v>
      </c>
      <c r="O192">
        <v>8</v>
      </c>
      <c r="P192">
        <v>6</v>
      </c>
      <c r="Q192" s="9">
        <v>21.428999999999998</v>
      </c>
      <c r="R192">
        <v>7</v>
      </c>
      <c r="S192" t="s">
        <v>69</v>
      </c>
      <c r="T192" s="11">
        <f t="shared" si="37"/>
        <v>25</v>
      </c>
      <c r="U192" s="11">
        <f t="shared" si="38"/>
        <v>20</v>
      </c>
      <c r="V192" t="str">
        <f t="shared" si="39"/>
        <v>BD8 7DY</v>
      </c>
      <c r="W192" t="str">
        <f t="shared" si="40"/>
        <v>OL11 5DR</v>
      </c>
      <c r="X192" s="12">
        <v>18205</v>
      </c>
      <c r="Y192" s="15">
        <f t="shared" si="30"/>
        <v>25</v>
      </c>
    </row>
    <row r="193" spans="1:25" x14ac:dyDescent="0.2">
      <c r="A193" t="s">
        <v>3</v>
      </c>
      <c r="B193" s="1">
        <v>42686</v>
      </c>
      <c r="C193" s="2" t="str">
        <f t="shared" si="31"/>
        <v>Sat</v>
      </c>
      <c r="D193" t="s">
        <v>8</v>
      </c>
      <c r="E193" t="s">
        <v>22</v>
      </c>
      <c r="F193" t="str">
        <f t="shared" si="32"/>
        <v>D</v>
      </c>
      <c r="G193">
        <f t="shared" si="33"/>
        <v>0</v>
      </c>
      <c r="H193" t="s">
        <v>32</v>
      </c>
      <c r="I193">
        <f t="shared" si="34"/>
        <v>0</v>
      </c>
      <c r="J193">
        <f t="shared" si="41"/>
        <v>11841</v>
      </c>
      <c r="K193" s="15">
        <f t="shared" si="35"/>
        <v>635</v>
      </c>
      <c r="L193" s="15">
        <f t="shared" si="36"/>
        <v>275</v>
      </c>
      <c r="M193">
        <v>15</v>
      </c>
      <c r="N193">
        <v>16</v>
      </c>
      <c r="O193">
        <v>0</v>
      </c>
      <c r="P193">
        <v>11</v>
      </c>
      <c r="Q193" s="9">
        <v>188.72300000000001</v>
      </c>
      <c r="R193">
        <v>7</v>
      </c>
      <c r="S193" t="s">
        <v>69</v>
      </c>
      <c r="T193" s="11">
        <f t="shared" si="37"/>
        <v>18</v>
      </c>
      <c r="U193" s="11">
        <f t="shared" si="38"/>
        <v>18</v>
      </c>
      <c r="V193" t="str">
        <f t="shared" si="39"/>
        <v>BL9 9HR</v>
      </c>
      <c r="W193" t="str">
        <f t="shared" si="40"/>
        <v>SS2 6NQ</v>
      </c>
      <c r="X193" s="12">
        <v>3033</v>
      </c>
      <c r="Y193" s="15">
        <f t="shared" si="30"/>
        <v>22</v>
      </c>
    </row>
    <row r="194" spans="1:25" x14ac:dyDescent="0.2">
      <c r="A194" t="s">
        <v>3</v>
      </c>
      <c r="B194" s="1">
        <v>42686</v>
      </c>
      <c r="C194" s="2" t="str">
        <f t="shared" si="31"/>
        <v>Sat</v>
      </c>
      <c r="D194" t="s">
        <v>25</v>
      </c>
      <c r="E194" t="s">
        <v>18</v>
      </c>
      <c r="F194" t="str">
        <f t="shared" si="32"/>
        <v>D</v>
      </c>
      <c r="G194">
        <f t="shared" si="33"/>
        <v>0</v>
      </c>
      <c r="H194" t="s">
        <v>32</v>
      </c>
      <c r="I194">
        <f t="shared" si="34"/>
        <v>0</v>
      </c>
      <c r="J194">
        <f t="shared" si="41"/>
        <v>32609</v>
      </c>
      <c r="K194" s="15">
        <f t="shared" si="35"/>
        <v>508</v>
      </c>
      <c r="L194" s="15">
        <f t="shared" si="36"/>
        <v>299</v>
      </c>
      <c r="M194">
        <v>18</v>
      </c>
      <c r="N194">
        <v>1</v>
      </c>
      <c r="O194">
        <v>10</v>
      </c>
      <c r="P194">
        <v>12</v>
      </c>
      <c r="Q194" s="9">
        <v>85.516000000000005</v>
      </c>
      <c r="R194">
        <v>10</v>
      </c>
      <c r="T194" s="11">
        <f t="shared" si="37"/>
        <v>22</v>
      </c>
      <c r="U194" s="11">
        <f t="shared" si="38"/>
        <v>22</v>
      </c>
      <c r="V194" t="str">
        <f t="shared" si="39"/>
        <v>CV6 6GE</v>
      </c>
      <c r="W194" t="str">
        <f t="shared" si="40"/>
        <v>DN15 8TD</v>
      </c>
      <c r="X194" s="12">
        <v>9737</v>
      </c>
      <c r="Y194" s="15">
        <f t="shared" ref="Y194:Y257" si="42">IF(D194="AFC Wimbledon",29,IF(D194="Bolton",30,IF(D194="Bury",22,IF(D194="Bradford",25,IF(D194="Bristol Rvs",26,IF(D194="Charlton",35,IF(D194="Chesterfield",26,IF(D194="Coventry",26,IF(D194="Gillingham",28,IF(D194="Millwall",30,IF(D194="Milton Keynes Dons",27,IF(D194="Northampton",24,IF(D194="Oldham",24,IF(D194="Oxford",24,IF(D194="Peterboro",26,IF(D194="Port Vale",23,IF(D194="Rochdale",22,IF(D194="Scunthorpe",23,IF(D194="Sheffield United",29,IF(D194="Southend",25,IF(D194="Shrewsbury",22,IF(D194="Swindon",25,IF(D194="Walsall",25.5,IF(D194="Fleetwood Town",23.5,"Unknown"))))))))))))))))))))))))</f>
        <v>26</v>
      </c>
    </row>
    <row r="195" spans="1:25" x14ac:dyDescent="0.2">
      <c r="A195" t="s">
        <v>3</v>
      </c>
      <c r="B195" s="1">
        <v>42686</v>
      </c>
      <c r="C195" s="2" t="str">
        <f t="shared" ref="C195:C258" si="43">TEXT(B195,"ddd")</f>
        <v>Sat</v>
      </c>
      <c r="D195" t="s">
        <v>23</v>
      </c>
      <c r="E195" t="s">
        <v>12</v>
      </c>
      <c r="F195" t="str">
        <f t="shared" ref="F195:F258" si="44">IF(C195="Sat","D",IF(C195="Sun","D","E"))</f>
        <v>D</v>
      </c>
      <c r="G195">
        <f t="shared" ref="G195:G258" si="45">IF(F195="D",0,1)</f>
        <v>0</v>
      </c>
      <c r="H195" t="s">
        <v>32</v>
      </c>
      <c r="I195">
        <f t="shared" ref="I195:I258" si="46">IF(H195="N",0,1)</f>
        <v>0</v>
      </c>
      <c r="J195">
        <f t="shared" si="41"/>
        <v>11582</v>
      </c>
      <c r="K195" s="15">
        <f t="shared" ref="K195:K258" si="47">IF(E195="AFC Wimbledon",622,IF(E195="Bolton",912,IF(E195="Bury",608,IF(E195="Bradford",1437,IF(E195="Bristol Rvs",1159,IF(E195="Charlton",680,IF(E195="Chesterfield",583,IF(E195="Coventry",1280,IF(E195="Gillingham",533,IF(E195="Millwall",827,IF(E195="Milton Keynes Dons",596,IF(E195="Northampton",843,IF(E195="Oldham",729,IF(E195="Oxford",1000,IF(E195="Peterboro",598,IF(E195="Port Vale",697,IF(E195="Rochdale",497,IF(E195="Scunthorpe",508,IF(E195="Sheffield United",1622,IF(E195="Southend",635,IF(E195="Shrewsbury",438,IF(E195="Swindon",503,IF(E195="Walsall",792,IF(E195="Fleetwood Town",210,"Unknown"))))))))))))))))))))))))</f>
        <v>843</v>
      </c>
      <c r="L195" s="15">
        <f t="shared" ref="L195:L258" si="48">IF(D195="AFC Wimbledon",260,IF(D195="Bolton",280,IF(D195="Bury",275,IF(D195="Bradford",149,IF(D195="Bristol Rvs",260,IF(D195="Charlton",175,IF(D195="Chesterfield",345,IF(D195="Coventry",299,IF(D195="Gillingham",285,IF(D195="Millwall",333,IF(D195="Milton Keynes Dons",312,IF(D195="Northampton",249,IF(D195="Oldham",300,IF(D195="Oxford",290,IF(D195="Peterboro",295,IF(D195="Port Vale",345,IF(D195="Rochdale",290,IF(D195="Scunthorpe",288,IF(D195="Sheffield United",288,IF(D195="Southend",395,IF(D195="Shrewsbury",285,IF(D195="Swindon",345,IF(D195="Walsall",253,IF(D195="Fleetwood Town",210,"Unknown"))))))))))))))))))))))))</f>
        <v>285</v>
      </c>
      <c r="M195">
        <v>19</v>
      </c>
      <c r="N195">
        <v>6</v>
      </c>
      <c r="O195">
        <v>5</v>
      </c>
      <c r="P195">
        <v>6</v>
      </c>
      <c r="Q195" s="9">
        <v>86.796000000000006</v>
      </c>
      <c r="R195">
        <v>13</v>
      </c>
      <c r="T195" s="11">
        <f t="shared" ref="T195:T258" si="49">IF(D195="AFC Wimbledon",17,IF(D195="Bolton",15,IF(D195="Bury",18,IF(D195="Bradford",25,IF(D195="Bristol Rvs",18,IF(D195="Charlton",20,IF(D195="Chesterfield",22,IF(D195="Coventry",22,IF(D195="Gillingham",12,IF(D195="Millwall",22,IF(D195="Milton Keynes Dons",22,IF(D195="Northampton",24,IF(D195="Oldham",22,IF(D195="Oxford",20,IF(D195="Peterboro",21,IF(D195="Port Vale",22,IF(D195="Rochdale",17,IF(D195="Scunthorpe",18,IF(D195="Sheffield United",20,IF(D195="Southend",25,IF(D195="Shrewsbury",20,IF(D195="Swindon",19,IF(D195="Walsall",20,IF(D195="Fleetwood Town",21.5,"Unknown"))))))))))))))))))))))))</f>
        <v>12</v>
      </c>
      <c r="U195" s="11">
        <f t="shared" ref="U195:U258" si="50">IF(D195="AFC Wimbledon",17,IF(D195="Bolton",15,IF(D195="Bury",18,IF(D195="Bradford",20,IF(D195="Bristol Rvs",16,IF(D195="Charlton",20,IF(D195="Chesterfield",20,IF(D195="Coventry",22,IF(D195="Gillingham",10,IF(D195="Millwall",23,IF(D195="Milton Keynes Dons",22,IF(D195="Northampton",24,IF(D195="Oldham",24,IF(D195="Oxford",21,IF(D195="Peterboro",20,IF(D195="Port Vale",22,IF(D195="Rochdale",22,IF(D195="Scunthorpe",22,IF(D195="Sheffield United",20,IF(D195="Southend",22,IF(D195="Shrewsbury",20,IF(D195="Swindon",19,IF(D195="Walsall",20,IF(D195="Fleetwood Town",21.5,"Unknown"))))))))))))))))))))))))</f>
        <v>10</v>
      </c>
      <c r="V195" t="str">
        <f t="shared" si="39"/>
        <v>ME7 4DD</v>
      </c>
      <c r="W195" t="str">
        <f t="shared" si="40"/>
        <v>NN5 5QA</v>
      </c>
      <c r="X195" s="12">
        <v>5790</v>
      </c>
      <c r="Y195" s="15">
        <f t="shared" si="42"/>
        <v>28</v>
      </c>
    </row>
    <row r="196" spans="1:25" x14ac:dyDescent="0.2">
      <c r="A196" t="s">
        <v>3</v>
      </c>
      <c r="B196" s="1">
        <v>42686</v>
      </c>
      <c r="C196" s="2" t="str">
        <f t="shared" si="43"/>
        <v>Sat</v>
      </c>
      <c r="D196" t="s">
        <v>10</v>
      </c>
      <c r="E196" t="s">
        <v>19</v>
      </c>
      <c r="F196" t="str">
        <f t="shared" si="44"/>
        <v>D</v>
      </c>
      <c r="G196">
        <f t="shared" si="45"/>
        <v>0</v>
      </c>
      <c r="H196" t="s">
        <v>32</v>
      </c>
      <c r="I196">
        <f t="shared" si="46"/>
        <v>0</v>
      </c>
      <c r="J196">
        <f t="shared" si="41"/>
        <v>20146</v>
      </c>
      <c r="K196" s="15">
        <f t="shared" si="47"/>
        <v>1159</v>
      </c>
      <c r="L196" s="15">
        <f t="shared" si="48"/>
        <v>333</v>
      </c>
      <c r="M196">
        <v>13</v>
      </c>
      <c r="N196">
        <v>5</v>
      </c>
      <c r="O196">
        <v>12</v>
      </c>
      <c r="P196">
        <v>7</v>
      </c>
      <c r="Q196" s="9">
        <v>109.078</v>
      </c>
      <c r="R196">
        <v>9</v>
      </c>
      <c r="S196" t="s">
        <v>68</v>
      </c>
      <c r="T196" s="11">
        <f t="shared" si="49"/>
        <v>22</v>
      </c>
      <c r="U196" s="11">
        <f t="shared" si="50"/>
        <v>23</v>
      </c>
      <c r="V196" t="str">
        <f t="shared" si="39"/>
        <v>SE16 3LN</v>
      </c>
      <c r="W196" t="str">
        <f t="shared" si="40"/>
        <v>BS7 0BF</v>
      </c>
      <c r="X196" s="12">
        <v>9645</v>
      </c>
      <c r="Y196" s="15">
        <f t="shared" si="42"/>
        <v>30</v>
      </c>
    </row>
    <row r="197" spans="1:25" x14ac:dyDescent="0.2">
      <c r="A197" t="s">
        <v>3</v>
      </c>
      <c r="B197" s="1">
        <v>42686</v>
      </c>
      <c r="C197" s="2" t="str">
        <f t="shared" si="43"/>
        <v>Sat</v>
      </c>
      <c r="D197" t="s">
        <v>21</v>
      </c>
      <c r="E197" t="s">
        <v>26</v>
      </c>
      <c r="F197" t="str">
        <f t="shared" si="44"/>
        <v>D</v>
      </c>
      <c r="G197">
        <f t="shared" si="45"/>
        <v>0</v>
      </c>
      <c r="H197" t="s">
        <v>32</v>
      </c>
      <c r="I197">
        <f t="shared" si="46"/>
        <v>0</v>
      </c>
      <c r="J197">
        <f t="shared" si="41"/>
        <v>30500</v>
      </c>
      <c r="K197" s="15">
        <f t="shared" si="47"/>
        <v>792</v>
      </c>
      <c r="L197" s="15">
        <f t="shared" si="48"/>
        <v>312</v>
      </c>
      <c r="M197">
        <v>20</v>
      </c>
      <c r="N197">
        <v>9</v>
      </c>
      <c r="O197">
        <v>2</v>
      </c>
      <c r="P197">
        <v>9</v>
      </c>
      <c r="Q197" s="9">
        <v>65.506</v>
      </c>
      <c r="R197">
        <v>7</v>
      </c>
      <c r="T197" s="11">
        <f t="shared" si="49"/>
        <v>22</v>
      </c>
      <c r="U197" s="11">
        <f t="shared" si="50"/>
        <v>22</v>
      </c>
      <c r="V197" t="str">
        <f t="shared" si="39"/>
        <v>MK1 1ST</v>
      </c>
      <c r="W197" t="str">
        <f t="shared" si="40"/>
        <v>WS1 4SA</v>
      </c>
      <c r="X197" s="12">
        <v>8188</v>
      </c>
      <c r="Y197" s="15">
        <f t="shared" si="42"/>
        <v>27</v>
      </c>
    </row>
    <row r="198" spans="1:25" x14ac:dyDescent="0.2">
      <c r="A198" t="s">
        <v>3</v>
      </c>
      <c r="B198" s="1">
        <v>42686</v>
      </c>
      <c r="C198" s="2" t="str">
        <f t="shared" si="43"/>
        <v>Sat</v>
      </c>
      <c r="D198" t="s">
        <v>11</v>
      </c>
      <c r="E198" t="s">
        <v>27</v>
      </c>
      <c r="F198" t="str">
        <f t="shared" si="44"/>
        <v>D</v>
      </c>
      <c r="G198">
        <f t="shared" si="45"/>
        <v>0</v>
      </c>
      <c r="H198" t="s">
        <v>32</v>
      </c>
      <c r="I198">
        <f t="shared" si="46"/>
        <v>0</v>
      </c>
      <c r="J198">
        <f t="shared" si="41"/>
        <v>13559</v>
      </c>
      <c r="K198" s="15">
        <f t="shared" si="47"/>
        <v>622</v>
      </c>
      <c r="L198" s="15">
        <f t="shared" si="48"/>
        <v>300</v>
      </c>
      <c r="M198">
        <v>22</v>
      </c>
      <c r="N198">
        <v>9</v>
      </c>
      <c r="O198">
        <v>4</v>
      </c>
      <c r="P198">
        <v>8</v>
      </c>
      <c r="Q198" s="9">
        <v>167.71199999999999</v>
      </c>
      <c r="R198">
        <v>11</v>
      </c>
      <c r="T198" s="11">
        <f t="shared" si="49"/>
        <v>22</v>
      </c>
      <c r="U198" s="11">
        <f t="shared" si="50"/>
        <v>24</v>
      </c>
      <c r="V198" t="str">
        <f t="shared" si="39"/>
        <v>OL1 2PA</v>
      </c>
      <c r="W198" t="str">
        <f t="shared" si="40"/>
        <v>KT1 3PB</v>
      </c>
      <c r="X198" s="12">
        <v>3856</v>
      </c>
      <c r="Y198" s="15">
        <f t="shared" si="42"/>
        <v>24</v>
      </c>
    </row>
    <row r="199" spans="1:25" x14ac:dyDescent="0.2">
      <c r="A199" t="s">
        <v>3</v>
      </c>
      <c r="B199" s="1">
        <v>42686</v>
      </c>
      <c r="C199" s="2" t="str">
        <f t="shared" si="43"/>
        <v>Sat</v>
      </c>
      <c r="D199" t="s">
        <v>7</v>
      </c>
      <c r="E199" t="s">
        <v>13</v>
      </c>
      <c r="F199" t="str">
        <f t="shared" si="44"/>
        <v>D</v>
      </c>
      <c r="G199">
        <f t="shared" si="45"/>
        <v>0</v>
      </c>
      <c r="H199" t="s">
        <v>32</v>
      </c>
      <c r="I199">
        <f t="shared" si="46"/>
        <v>0</v>
      </c>
      <c r="J199">
        <f t="shared" si="41"/>
        <v>18947</v>
      </c>
      <c r="K199" s="15">
        <f t="shared" si="47"/>
        <v>210</v>
      </c>
      <c r="L199" s="15">
        <f t="shared" si="48"/>
        <v>345</v>
      </c>
      <c r="M199">
        <v>13</v>
      </c>
      <c r="N199">
        <v>12</v>
      </c>
      <c r="O199">
        <v>5</v>
      </c>
      <c r="P199">
        <v>6</v>
      </c>
      <c r="Q199" s="9">
        <v>69.007999999999996</v>
      </c>
      <c r="R199">
        <v>11</v>
      </c>
      <c r="T199" s="11">
        <f t="shared" si="49"/>
        <v>22</v>
      </c>
      <c r="U199" s="11">
        <f t="shared" si="50"/>
        <v>22</v>
      </c>
      <c r="V199" t="str">
        <f t="shared" si="39"/>
        <v>ST6 1AW</v>
      </c>
      <c r="W199" t="str">
        <f t="shared" si="40"/>
        <v>FY7 6TX</v>
      </c>
      <c r="X199" s="12">
        <v>3890</v>
      </c>
      <c r="Y199" s="15">
        <f t="shared" si="42"/>
        <v>23</v>
      </c>
    </row>
    <row r="200" spans="1:25" x14ac:dyDescent="0.2">
      <c r="A200" t="s">
        <v>3</v>
      </c>
      <c r="B200" s="1">
        <v>42686</v>
      </c>
      <c r="C200" s="2" t="str">
        <f t="shared" si="43"/>
        <v>Sat</v>
      </c>
      <c r="D200" t="s">
        <v>20</v>
      </c>
      <c r="E200" t="s">
        <v>14</v>
      </c>
      <c r="F200" t="str">
        <f t="shared" si="44"/>
        <v>D</v>
      </c>
      <c r="G200">
        <f t="shared" si="45"/>
        <v>0</v>
      </c>
      <c r="H200" t="s">
        <v>32</v>
      </c>
      <c r="I200">
        <f t="shared" si="46"/>
        <v>0</v>
      </c>
      <c r="J200">
        <f t="shared" si="41"/>
        <v>9875</v>
      </c>
      <c r="K200" s="15">
        <f t="shared" si="47"/>
        <v>1000</v>
      </c>
      <c r="L200" s="15">
        <f t="shared" si="48"/>
        <v>285</v>
      </c>
      <c r="M200">
        <v>24</v>
      </c>
      <c r="N200">
        <v>17</v>
      </c>
      <c r="O200">
        <v>4</v>
      </c>
      <c r="P200">
        <v>4</v>
      </c>
      <c r="Q200" s="9">
        <v>93.606999999999999</v>
      </c>
      <c r="R200">
        <v>9</v>
      </c>
      <c r="S200" t="s">
        <v>68</v>
      </c>
      <c r="T200" s="11">
        <f t="shared" si="49"/>
        <v>20</v>
      </c>
      <c r="U200" s="11">
        <f t="shared" si="50"/>
        <v>20</v>
      </c>
      <c r="V200" t="str">
        <f t="shared" si="39"/>
        <v>SY2 6ST</v>
      </c>
      <c r="W200" t="str">
        <f t="shared" si="40"/>
        <v>OX4 4XP</v>
      </c>
      <c r="X200" s="12">
        <v>5491</v>
      </c>
      <c r="Y200" s="15">
        <f t="shared" si="42"/>
        <v>22</v>
      </c>
    </row>
    <row r="201" spans="1:25" x14ac:dyDescent="0.2">
      <c r="A201" t="s">
        <v>3</v>
      </c>
      <c r="B201" s="1">
        <v>42686</v>
      </c>
      <c r="C201" s="2" t="str">
        <f t="shared" si="43"/>
        <v>Sat</v>
      </c>
      <c r="D201" t="s">
        <v>24</v>
      </c>
      <c r="E201" t="s">
        <v>9</v>
      </c>
      <c r="F201" t="str">
        <f t="shared" si="44"/>
        <v>D</v>
      </c>
      <c r="G201">
        <f t="shared" si="45"/>
        <v>0</v>
      </c>
      <c r="H201" t="s">
        <v>32</v>
      </c>
      <c r="I201">
        <f t="shared" si="46"/>
        <v>0</v>
      </c>
      <c r="J201">
        <f t="shared" si="41"/>
        <v>15728</v>
      </c>
      <c r="K201" s="15">
        <f t="shared" si="47"/>
        <v>680</v>
      </c>
      <c r="L201" s="15">
        <f t="shared" si="48"/>
        <v>345</v>
      </c>
      <c r="M201">
        <v>21</v>
      </c>
      <c r="N201">
        <v>14</v>
      </c>
      <c r="O201">
        <v>7</v>
      </c>
      <c r="P201">
        <v>8</v>
      </c>
      <c r="Q201" s="9">
        <v>77.956999999999994</v>
      </c>
      <c r="R201">
        <v>8</v>
      </c>
      <c r="S201" t="s">
        <v>68</v>
      </c>
      <c r="T201" s="11">
        <f t="shared" si="49"/>
        <v>19</v>
      </c>
      <c r="U201" s="11">
        <f t="shared" si="50"/>
        <v>19</v>
      </c>
      <c r="V201" t="str">
        <f t="shared" si="39"/>
        <v>SN1 2ED</v>
      </c>
      <c r="W201" t="str">
        <f t="shared" si="40"/>
        <v>SE7 8BL</v>
      </c>
      <c r="X201" s="12">
        <v>6599</v>
      </c>
      <c r="Y201" s="15">
        <f t="shared" si="42"/>
        <v>25</v>
      </c>
    </row>
    <row r="202" spans="1:25" x14ac:dyDescent="0.2">
      <c r="A202" t="s">
        <v>3</v>
      </c>
      <c r="B202" s="1">
        <v>42687</v>
      </c>
      <c r="C202" s="2" t="str">
        <f t="shared" si="43"/>
        <v>Sun</v>
      </c>
      <c r="D202" t="s">
        <v>15</v>
      </c>
      <c r="E202" t="s">
        <v>5</v>
      </c>
      <c r="F202" t="str">
        <f t="shared" si="44"/>
        <v>D</v>
      </c>
      <c r="G202">
        <f t="shared" si="45"/>
        <v>0</v>
      </c>
      <c r="H202" t="s">
        <v>32</v>
      </c>
      <c r="I202">
        <f t="shared" si="46"/>
        <v>0</v>
      </c>
      <c r="J202">
        <f t="shared" si="41"/>
        <v>10504</v>
      </c>
      <c r="K202" s="15">
        <f t="shared" si="47"/>
        <v>1622</v>
      </c>
      <c r="L202" s="15">
        <f t="shared" si="48"/>
        <v>345</v>
      </c>
      <c r="M202">
        <v>24</v>
      </c>
      <c r="N202">
        <v>4</v>
      </c>
      <c r="O202">
        <v>0</v>
      </c>
      <c r="P202">
        <v>13</v>
      </c>
      <c r="Q202" s="9">
        <v>8.2560000000000002</v>
      </c>
      <c r="R202">
        <v>10</v>
      </c>
      <c r="T202" s="11">
        <f t="shared" si="49"/>
        <v>22</v>
      </c>
      <c r="U202" s="11">
        <f t="shared" si="50"/>
        <v>20</v>
      </c>
      <c r="V202" t="str">
        <f t="shared" si="39"/>
        <v>S41 8NZ</v>
      </c>
      <c r="W202" t="str">
        <f t="shared" si="40"/>
        <v>S2 4SU</v>
      </c>
      <c r="X202" s="12">
        <v>8451</v>
      </c>
      <c r="Y202" s="15">
        <f t="shared" si="42"/>
        <v>26</v>
      </c>
    </row>
    <row r="203" spans="1:25" x14ac:dyDescent="0.2">
      <c r="A203" t="s">
        <v>3</v>
      </c>
      <c r="B203" s="1">
        <v>42687</v>
      </c>
      <c r="C203" s="2" t="str">
        <f t="shared" si="43"/>
        <v>Sun</v>
      </c>
      <c r="D203" t="s">
        <v>17</v>
      </c>
      <c r="E203" t="s">
        <v>4</v>
      </c>
      <c r="F203" t="str">
        <f t="shared" si="44"/>
        <v>D</v>
      </c>
      <c r="G203">
        <f t="shared" si="45"/>
        <v>0</v>
      </c>
      <c r="H203" t="s">
        <v>32</v>
      </c>
      <c r="I203">
        <f t="shared" si="46"/>
        <v>0</v>
      </c>
      <c r="J203">
        <f t="shared" si="41"/>
        <v>15314</v>
      </c>
      <c r="K203" s="15">
        <f t="shared" si="47"/>
        <v>912</v>
      </c>
      <c r="L203" s="15">
        <f t="shared" si="48"/>
        <v>295</v>
      </c>
      <c r="M203">
        <v>10</v>
      </c>
      <c r="N203">
        <v>2</v>
      </c>
      <c r="O203">
        <v>9</v>
      </c>
      <c r="P203">
        <v>12</v>
      </c>
      <c r="Q203" s="9">
        <v>118.44799999999999</v>
      </c>
      <c r="R203">
        <v>7</v>
      </c>
      <c r="T203" s="11">
        <f t="shared" si="49"/>
        <v>21</v>
      </c>
      <c r="U203" s="11">
        <f t="shared" si="50"/>
        <v>20</v>
      </c>
      <c r="V203" t="str">
        <f t="shared" si="39"/>
        <v>PE2 8AL</v>
      </c>
      <c r="W203" t="str">
        <f t="shared" si="40"/>
        <v>BL6 6JW</v>
      </c>
      <c r="X203" s="12">
        <v>4780</v>
      </c>
      <c r="Y203" s="15">
        <f t="shared" si="42"/>
        <v>26</v>
      </c>
    </row>
    <row r="204" spans="1:25" x14ac:dyDescent="0.2">
      <c r="A204" t="s">
        <v>3</v>
      </c>
      <c r="B204" s="1">
        <v>42693</v>
      </c>
      <c r="C204" s="2" t="str">
        <f t="shared" si="43"/>
        <v>Sat</v>
      </c>
      <c r="D204" t="s">
        <v>27</v>
      </c>
      <c r="E204" t="s">
        <v>8</v>
      </c>
      <c r="F204" t="str">
        <f t="shared" si="44"/>
        <v>D</v>
      </c>
      <c r="G204">
        <f t="shared" si="45"/>
        <v>0</v>
      </c>
      <c r="H204" t="s">
        <v>32</v>
      </c>
      <c r="I204">
        <f t="shared" si="46"/>
        <v>0</v>
      </c>
      <c r="J204">
        <f t="shared" si="41"/>
        <v>4850</v>
      </c>
      <c r="K204" s="15">
        <f t="shared" si="47"/>
        <v>608</v>
      </c>
      <c r="L204" s="15">
        <f t="shared" si="48"/>
        <v>260</v>
      </c>
      <c r="M204">
        <v>10</v>
      </c>
      <c r="N204">
        <v>16</v>
      </c>
      <c r="O204">
        <v>10</v>
      </c>
      <c r="P204">
        <v>0</v>
      </c>
      <c r="Q204" s="9">
        <v>172.67699999999999</v>
      </c>
      <c r="R204">
        <v>7</v>
      </c>
      <c r="T204" s="11">
        <f t="shared" si="49"/>
        <v>17</v>
      </c>
      <c r="U204" s="11">
        <f t="shared" si="50"/>
        <v>17</v>
      </c>
      <c r="V204" t="str">
        <f t="shared" si="39"/>
        <v>KT1 3PB</v>
      </c>
      <c r="W204" t="str">
        <f t="shared" si="40"/>
        <v>BL9 9HR</v>
      </c>
      <c r="X204" s="12">
        <v>4141</v>
      </c>
      <c r="Y204" s="15">
        <f t="shared" si="42"/>
        <v>29</v>
      </c>
    </row>
    <row r="205" spans="1:25" x14ac:dyDescent="0.2">
      <c r="A205" t="s">
        <v>3</v>
      </c>
      <c r="B205" s="1">
        <v>42693</v>
      </c>
      <c r="C205" s="2" t="str">
        <f t="shared" si="43"/>
        <v>Sat</v>
      </c>
      <c r="D205" t="s">
        <v>4</v>
      </c>
      <c r="E205" t="s">
        <v>10</v>
      </c>
      <c r="F205" t="str">
        <f t="shared" si="44"/>
        <v>D</v>
      </c>
      <c r="G205">
        <f t="shared" si="45"/>
        <v>0</v>
      </c>
      <c r="H205" t="s">
        <v>32</v>
      </c>
      <c r="I205">
        <f t="shared" si="46"/>
        <v>0</v>
      </c>
      <c r="J205">
        <f t="shared" si="41"/>
        <v>28723</v>
      </c>
      <c r="K205" s="15">
        <f t="shared" si="47"/>
        <v>827</v>
      </c>
      <c r="L205" s="15">
        <f t="shared" si="48"/>
        <v>280</v>
      </c>
      <c r="M205">
        <v>4</v>
      </c>
      <c r="N205">
        <v>9</v>
      </c>
      <c r="O205">
        <v>12</v>
      </c>
      <c r="P205">
        <v>9</v>
      </c>
      <c r="Q205" s="9">
        <v>178.59399999999999</v>
      </c>
      <c r="R205">
        <v>3</v>
      </c>
      <c r="S205" t="s">
        <v>68</v>
      </c>
      <c r="T205" s="11">
        <f t="shared" si="49"/>
        <v>15</v>
      </c>
      <c r="U205" s="11">
        <f t="shared" si="50"/>
        <v>15</v>
      </c>
      <c r="V205" t="str">
        <f t="shared" si="39"/>
        <v>BL6 6JW</v>
      </c>
      <c r="W205" t="str">
        <f t="shared" si="40"/>
        <v>SE16 3LN</v>
      </c>
      <c r="X205" s="12">
        <v>13110</v>
      </c>
      <c r="Y205" s="15">
        <f t="shared" si="42"/>
        <v>30</v>
      </c>
    </row>
    <row r="206" spans="1:25" x14ac:dyDescent="0.2">
      <c r="A206" t="s">
        <v>3</v>
      </c>
      <c r="B206" s="1">
        <v>42693</v>
      </c>
      <c r="C206" s="2" t="str">
        <f t="shared" si="43"/>
        <v>Sat</v>
      </c>
      <c r="D206" t="s">
        <v>19</v>
      </c>
      <c r="E206" t="s">
        <v>21</v>
      </c>
      <c r="F206" t="str">
        <f t="shared" si="44"/>
        <v>D</v>
      </c>
      <c r="G206">
        <f t="shared" si="45"/>
        <v>0</v>
      </c>
      <c r="H206" t="s">
        <v>32</v>
      </c>
      <c r="I206">
        <f t="shared" si="46"/>
        <v>0</v>
      </c>
      <c r="J206">
        <f t="shared" si="41"/>
        <v>12000</v>
      </c>
      <c r="K206" s="15">
        <f t="shared" si="47"/>
        <v>596</v>
      </c>
      <c r="L206" s="15">
        <f t="shared" si="48"/>
        <v>260</v>
      </c>
      <c r="M206">
        <v>6</v>
      </c>
      <c r="N206">
        <v>21</v>
      </c>
      <c r="O206">
        <v>7</v>
      </c>
      <c r="P206">
        <v>3</v>
      </c>
      <c r="Q206" s="9">
        <v>87.034999999999997</v>
      </c>
      <c r="R206">
        <v>5</v>
      </c>
      <c r="T206" s="11">
        <f t="shared" si="49"/>
        <v>18</v>
      </c>
      <c r="U206" s="11">
        <f t="shared" si="50"/>
        <v>16</v>
      </c>
      <c r="V206" t="str">
        <f t="shared" si="39"/>
        <v>BS7 0BF</v>
      </c>
      <c r="W206" t="str">
        <f t="shared" si="40"/>
        <v>MK1 1ST</v>
      </c>
      <c r="X206" s="12">
        <v>9031</v>
      </c>
      <c r="Y206" s="15">
        <f t="shared" si="42"/>
        <v>26</v>
      </c>
    </row>
    <row r="207" spans="1:25" x14ac:dyDescent="0.2">
      <c r="A207" t="s">
        <v>3</v>
      </c>
      <c r="B207" s="1">
        <v>42693</v>
      </c>
      <c r="C207" s="2" t="str">
        <f t="shared" si="43"/>
        <v>Sat</v>
      </c>
      <c r="D207" t="s">
        <v>9</v>
      </c>
      <c r="E207" t="s">
        <v>7</v>
      </c>
      <c r="F207" t="str">
        <f t="shared" si="44"/>
        <v>D</v>
      </c>
      <c r="G207">
        <f t="shared" si="45"/>
        <v>0</v>
      </c>
      <c r="H207" t="s">
        <v>32</v>
      </c>
      <c r="I207">
        <f t="shared" si="46"/>
        <v>0</v>
      </c>
      <c r="J207">
        <f t="shared" si="41"/>
        <v>26875</v>
      </c>
      <c r="K207" s="15">
        <f t="shared" si="47"/>
        <v>697</v>
      </c>
      <c r="L207" s="15">
        <f t="shared" si="48"/>
        <v>175</v>
      </c>
      <c r="M207">
        <v>15</v>
      </c>
      <c r="N207">
        <v>9</v>
      </c>
      <c r="O207">
        <v>8</v>
      </c>
      <c r="P207">
        <v>5</v>
      </c>
      <c r="Q207" s="9">
        <v>143.53800000000001</v>
      </c>
      <c r="R207">
        <v>6</v>
      </c>
      <c r="T207" s="11">
        <f t="shared" si="49"/>
        <v>20</v>
      </c>
      <c r="U207" s="11">
        <f t="shared" si="50"/>
        <v>20</v>
      </c>
      <c r="V207" t="str">
        <f t="shared" ref="V207:V270" si="51">IF(D207="Bolton","BL6 6JW",IF(D207="Bradford","BD8 7DY",IF(D207="Bury","BL9 9HR",IF(D207="Millwall","SE16 3LN",IF(D207="Northampton","NN5 5QA",IF(D207="Oxford","OX4 4XP",IF(D207="Rochdale","OL11 5DR",IF(D207="Scunthorpe","DN15 8TD",IF(D207="Shrewsbury","SY2 6ST",IF(D207="Southend","SS2 6NQ",IF(D207="Swindon","SN1 2ED",IF(D207="Walsall","WS1 4SA",IF(D207="Sheffield United","S2 4SU",IF(D207="Port Vale","ST6 1AW",IF(D207="Charlton","SE7 8BL",IF(D207="Oldham","OL1 2PA",IF(D207="Fleetwood Town","FY7 6TX",IF(D207="Chesterfield","S41 8NZ",IF(D207="Peterboro","PE2 8AL",IF(D207="Bristol Rvs","BS7 0BF",IF(D207="Milton Keynes Dons","MK1 1ST",IF(D207="Gillingham","ME7 4DD",IF(D207="Coventry","CV6 6GE",IF(D207="AFC Wimbledon","KT1 3PB"))))))))))))))))))))))))</f>
        <v>SE7 8BL</v>
      </c>
      <c r="W207" t="str">
        <f t="shared" ref="W207:W270" si="52">IF(E207="Bolton","BL6 6JW",IF(E207="Bradford","BD8 7DY",IF(E207="Bury","BL9 9HR",IF(E207="Millwall","SE16 3LN",IF(E207="Northampton","NN5 5QA",IF(E207="Oxford","OX4 4XP",IF(E207="Rochdale","OL11 5DR",IF(E207="Scunthorpe","DN15 8TD",IF(E207="Shrewsbury","SY2 6ST",IF(E207="Southend","SS2 6NQ",IF(E207="Swindon","SN1 2ED",IF(E207="Walsall","WS1 4SA",IF(E207="Sheffield United","S2 4SU",IF(E207="Port Vale","ST6 1AW",IF(E207="Charlton","SE7 8BL",IF(E207="Oldham","OL1 2PA",IF(E207="Fleetwood Town","FY7 6TX",IF(E207="Chesterfield","S41 8NZ",IF(E207="Peterboro","PE2 8AL",IF(E207="Bristol Rvs","BS7 0BF",IF(E207="Milton Keynes Dons","MK1 1ST",IF(E207="Gillingham","ME7 4DD",IF(E207="Coventry","CV6 6GE",IF(E207="AFC Wimbledon","KT1 3PB"))))))))))))))))))))))))</f>
        <v>ST6 1AW</v>
      </c>
      <c r="X207" s="12">
        <v>8992</v>
      </c>
      <c r="Y207" s="15">
        <f t="shared" si="42"/>
        <v>35</v>
      </c>
    </row>
    <row r="208" spans="1:25" x14ac:dyDescent="0.2">
      <c r="A208" t="s">
        <v>3</v>
      </c>
      <c r="B208" s="1">
        <v>42693</v>
      </c>
      <c r="C208" s="2" t="str">
        <f t="shared" si="43"/>
        <v>Sat</v>
      </c>
      <c r="D208" t="s">
        <v>13</v>
      </c>
      <c r="E208" t="s">
        <v>15</v>
      </c>
      <c r="F208" t="str">
        <f t="shared" si="44"/>
        <v>D</v>
      </c>
      <c r="G208">
        <f t="shared" si="45"/>
        <v>0</v>
      </c>
      <c r="H208" t="s">
        <v>32</v>
      </c>
      <c r="I208">
        <f t="shared" si="46"/>
        <v>0</v>
      </c>
      <c r="J208">
        <f t="shared" si="41"/>
        <v>5327</v>
      </c>
      <c r="K208" s="15">
        <f t="shared" si="47"/>
        <v>583</v>
      </c>
      <c r="L208" s="15">
        <f t="shared" si="48"/>
        <v>210</v>
      </c>
      <c r="M208">
        <v>13</v>
      </c>
      <c r="N208">
        <v>24</v>
      </c>
      <c r="O208">
        <v>6</v>
      </c>
      <c r="P208">
        <v>0</v>
      </c>
      <c r="Q208" s="9">
        <v>80.055000000000007</v>
      </c>
      <c r="R208">
        <v>4</v>
      </c>
      <c r="S208" t="s">
        <v>68</v>
      </c>
      <c r="T208" s="11">
        <f t="shared" si="49"/>
        <v>21.5</v>
      </c>
      <c r="U208" s="11">
        <f t="shared" si="50"/>
        <v>21.5</v>
      </c>
      <c r="V208" t="str">
        <f t="shared" si="51"/>
        <v>FY7 6TX</v>
      </c>
      <c r="W208" t="str">
        <f t="shared" si="52"/>
        <v>S41 8NZ</v>
      </c>
      <c r="X208" s="12">
        <v>2901</v>
      </c>
      <c r="Y208" s="15">
        <f t="shared" si="42"/>
        <v>23.5</v>
      </c>
    </row>
    <row r="209" spans="1:25" x14ac:dyDescent="0.2">
      <c r="A209" t="s">
        <v>3</v>
      </c>
      <c r="B209" s="1">
        <v>42693</v>
      </c>
      <c r="C209" s="2" t="str">
        <f t="shared" si="43"/>
        <v>Sat</v>
      </c>
      <c r="D209" t="s">
        <v>12</v>
      </c>
      <c r="E209" t="s">
        <v>17</v>
      </c>
      <c r="F209" t="str">
        <f t="shared" si="44"/>
        <v>D</v>
      </c>
      <c r="G209">
        <f t="shared" si="45"/>
        <v>0</v>
      </c>
      <c r="H209" t="s">
        <v>32</v>
      </c>
      <c r="I209">
        <f t="shared" si="46"/>
        <v>0</v>
      </c>
      <c r="J209">
        <f t="shared" si="41"/>
        <v>7653</v>
      </c>
      <c r="K209" s="15">
        <f t="shared" si="47"/>
        <v>598</v>
      </c>
      <c r="L209" s="15">
        <f t="shared" si="48"/>
        <v>249</v>
      </c>
      <c r="M209">
        <v>10</v>
      </c>
      <c r="N209">
        <v>6</v>
      </c>
      <c r="O209">
        <v>6</v>
      </c>
      <c r="P209">
        <v>12</v>
      </c>
      <c r="Q209" s="9">
        <v>37.078000000000003</v>
      </c>
      <c r="R209">
        <v>7</v>
      </c>
      <c r="T209" s="11">
        <f t="shared" si="49"/>
        <v>24</v>
      </c>
      <c r="U209" s="11">
        <f t="shared" si="50"/>
        <v>24</v>
      </c>
      <c r="V209" t="str">
        <f t="shared" si="51"/>
        <v>NN5 5QA</v>
      </c>
      <c r="W209" t="str">
        <f t="shared" si="52"/>
        <v>PE2 8AL</v>
      </c>
      <c r="X209" s="12">
        <v>7675</v>
      </c>
      <c r="Y209" s="15">
        <f t="shared" si="42"/>
        <v>24</v>
      </c>
    </row>
    <row r="210" spans="1:25" x14ac:dyDescent="0.2">
      <c r="A210" t="s">
        <v>3</v>
      </c>
      <c r="B210" s="1">
        <v>42693</v>
      </c>
      <c r="C210" s="2" t="str">
        <f t="shared" si="43"/>
        <v>Sat</v>
      </c>
      <c r="D210" t="s">
        <v>14</v>
      </c>
      <c r="E210" t="s">
        <v>25</v>
      </c>
      <c r="F210" t="str">
        <f t="shared" si="44"/>
        <v>D</v>
      </c>
      <c r="G210">
        <f t="shared" si="45"/>
        <v>0</v>
      </c>
      <c r="H210" t="s">
        <v>32</v>
      </c>
      <c r="I210">
        <f t="shared" si="46"/>
        <v>0</v>
      </c>
      <c r="J210">
        <f t="shared" si="41"/>
        <v>12500</v>
      </c>
      <c r="K210" s="15">
        <f t="shared" si="47"/>
        <v>1280</v>
      </c>
      <c r="L210" s="15">
        <f t="shared" si="48"/>
        <v>290</v>
      </c>
      <c r="M210">
        <v>20</v>
      </c>
      <c r="N210">
        <v>18</v>
      </c>
      <c r="O210">
        <v>4</v>
      </c>
      <c r="P210">
        <v>7</v>
      </c>
      <c r="Q210" s="9">
        <v>52.023000000000003</v>
      </c>
      <c r="R210">
        <v>2</v>
      </c>
      <c r="S210" t="s">
        <v>74</v>
      </c>
      <c r="T210" s="11">
        <f t="shared" si="49"/>
        <v>20</v>
      </c>
      <c r="U210" s="11">
        <f t="shared" si="50"/>
        <v>21</v>
      </c>
      <c r="V210" t="str">
        <f t="shared" si="51"/>
        <v>OX4 4XP</v>
      </c>
      <c r="W210" t="str">
        <f t="shared" si="52"/>
        <v>CV6 6GE</v>
      </c>
      <c r="X210" s="12">
        <v>9199</v>
      </c>
      <c r="Y210" s="15">
        <f t="shared" si="42"/>
        <v>24</v>
      </c>
    </row>
    <row r="211" spans="1:25" x14ac:dyDescent="0.2">
      <c r="A211" t="s">
        <v>3</v>
      </c>
      <c r="B211" s="1">
        <v>42693</v>
      </c>
      <c r="C211" s="2" t="str">
        <f t="shared" si="43"/>
        <v>Sat</v>
      </c>
      <c r="D211" t="s">
        <v>16</v>
      </c>
      <c r="E211" t="s">
        <v>24</v>
      </c>
      <c r="F211" t="str">
        <f t="shared" si="44"/>
        <v>D</v>
      </c>
      <c r="G211">
        <f t="shared" si="45"/>
        <v>0</v>
      </c>
      <c r="H211" t="s">
        <v>32</v>
      </c>
      <c r="I211">
        <f t="shared" si="46"/>
        <v>0</v>
      </c>
      <c r="J211">
        <f t="shared" si="41"/>
        <v>10249</v>
      </c>
      <c r="K211" s="15">
        <f t="shared" si="47"/>
        <v>503</v>
      </c>
      <c r="L211" s="15">
        <f t="shared" si="48"/>
        <v>290</v>
      </c>
      <c r="M211">
        <v>12</v>
      </c>
      <c r="N211">
        <v>19</v>
      </c>
      <c r="O211">
        <v>6</v>
      </c>
      <c r="P211">
        <v>6</v>
      </c>
      <c r="Q211" s="9">
        <v>143.13999999999999</v>
      </c>
      <c r="R211">
        <v>3</v>
      </c>
      <c r="S211" t="s">
        <v>74</v>
      </c>
      <c r="T211" s="11">
        <f t="shared" si="49"/>
        <v>17</v>
      </c>
      <c r="U211" s="11">
        <f t="shared" si="50"/>
        <v>22</v>
      </c>
      <c r="V211" t="str">
        <f t="shared" si="51"/>
        <v>OL11 5DR</v>
      </c>
      <c r="W211" t="str">
        <f t="shared" si="52"/>
        <v>SN1 2ED</v>
      </c>
      <c r="X211" s="12">
        <v>2196</v>
      </c>
      <c r="Y211" s="15">
        <f t="shared" si="42"/>
        <v>22</v>
      </c>
    </row>
    <row r="212" spans="1:25" x14ac:dyDescent="0.2">
      <c r="A212" t="s">
        <v>3</v>
      </c>
      <c r="B212" s="1">
        <v>42693</v>
      </c>
      <c r="C212" s="2" t="str">
        <f t="shared" si="43"/>
        <v>Sat</v>
      </c>
      <c r="D212" t="s">
        <v>18</v>
      </c>
      <c r="E212" t="s">
        <v>11</v>
      </c>
      <c r="F212" t="str">
        <f t="shared" si="44"/>
        <v>D</v>
      </c>
      <c r="G212">
        <f t="shared" si="45"/>
        <v>0</v>
      </c>
      <c r="H212" t="s">
        <v>32</v>
      </c>
      <c r="I212">
        <f t="shared" si="46"/>
        <v>0</v>
      </c>
      <c r="J212">
        <f t="shared" si="41"/>
        <v>9183</v>
      </c>
      <c r="K212" s="15">
        <f t="shared" si="47"/>
        <v>729</v>
      </c>
      <c r="L212" s="15">
        <f t="shared" si="48"/>
        <v>288</v>
      </c>
      <c r="M212">
        <v>1</v>
      </c>
      <c r="N212">
        <v>22</v>
      </c>
      <c r="O212">
        <v>12</v>
      </c>
      <c r="P212">
        <v>4</v>
      </c>
      <c r="Q212" s="9">
        <v>58.857999999999997</v>
      </c>
      <c r="R212">
        <v>4</v>
      </c>
      <c r="S212" t="s">
        <v>74</v>
      </c>
      <c r="T212" s="11">
        <f t="shared" si="49"/>
        <v>18</v>
      </c>
      <c r="U212" s="11">
        <f t="shared" si="50"/>
        <v>22</v>
      </c>
      <c r="V212" t="str">
        <f t="shared" si="51"/>
        <v>DN15 8TD</v>
      </c>
      <c r="W212" t="str">
        <f t="shared" si="52"/>
        <v>OL1 2PA</v>
      </c>
      <c r="X212" s="12">
        <v>4323</v>
      </c>
      <c r="Y212" s="15">
        <f t="shared" si="42"/>
        <v>23</v>
      </c>
    </row>
    <row r="213" spans="1:25" x14ac:dyDescent="0.2">
      <c r="A213" t="s">
        <v>3</v>
      </c>
      <c r="B213" s="1">
        <v>42693</v>
      </c>
      <c r="C213" s="2" t="str">
        <f t="shared" si="43"/>
        <v>Sat</v>
      </c>
      <c r="D213" t="s">
        <v>5</v>
      </c>
      <c r="E213" t="s">
        <v>20</v>
      </c>
      <c r="F213" t="str">
        <f t="shared" si="44"/>
        <v>D</v>
      </c>
      <c r="G213">
        <f t="shared" si="45"/>
        <v>0</v>
      </c>
      <c r="H213" t="s">
        <v>32</v>
      </c>
      <c r="I213">
        <f t="shared" si="46"/>
        <v>0</v>
      </c>
      <c r="J213">
        <f t="shared" si="41"/>
        <v>32702</v>
      </c>
      <c r="K213" s="15">
        <f t="shared" si="47"/>
        <v>438</v>
      </c>
      <c r="L213" s="15">
        <f t="shared" si="48"/>
        <v>288</v>
      </c>
      <c r="M213">
        <v>3</v>
      </c>
      <c r="N213">
        <v>23</v>
      </c>
      <c r="O213">
        <v>13</v>
      </c>
      <c r="P213">
        <v>4</v>
      </c>
      <c r="Q213" s="9">
        <v>71.043000000000006</v>
      </c>
      <c r="R213">
        <v>4</v>
      </c>
      <c r="S213" t="s">
        <v>68</v>
      </c>
      <c r="T213" s="11">
        <f t="shared" si="49"/>
        <v>20</v>
      </c>
      <c r="U213" s="11">
        <f t="shared" si="50"/>
        <v>20</v>
      </c>
      <c r="V213" t="str">
        <f t="shared" si="51"/>
        <v>S2 4SU</v>
      </c>
      <c r="W213" t="str">
        <f t="shared" si="52"/>
        <v>SY2 6ST</v>
      </c>
      <c r="X213" s="12">
        <v>20195</v>
      </c>
      <c r="Y213" s="15">
        <f t="shared" si="42"/>
        <v>29</v>
      </c>
    </row>
    <row r="214" spans="1:25" x14ac:dyDescent="0.2">
      <c r="A214" t="s">
        <v>3</v>
      </c>
      <c r="B214" s="1">
        <v>42693</v>
      </c>
      <c r="C214" s="2" t="str">
        <f t="shared" si="43"/>
        <v>Sat</v>
      </c>
      <c r="D214" t="s">
        <v>22</v>
      </c>
      <c r="E214" t="s">
        <v>6</v>
      </c>
      <c r="F214" t="str">
        <f t="shared" si="44"/>
        <v>D</v>
      </c>
      <c r="G214">
        <f t="shared" si="45"/>
        <v>0</v>
      </c>
      <c r="H214" t="s">
        <v>32</v>
      </c>
      <c r="I214">
        <f t="shared" si="46"/>
        <v>0</v>
      </c>
      <c r="J214">
        <f t="shared" si="41"/>
        <v>12392</v>
      </c>
      <c r="K214" s="15">
        <f t="shared" si="47"/>
        <v>1437</v>
      </c>
      <c r="L214" s="15">
        <f t="shared" si="48"/>
        <v>395</v>
      </c>
      <c r="M214">
        <v>13</v>
      </c>
      <c r="N214">
        <v>2</v>
      </c>
      <c r="O214">
        <v>11</v>
      </c>
      <c r="P214">
        <v>8</v>
      </c>
      <c r="Q214" s="9">
        <v>186.98400000000001</v>
      </c>
      <c r="R214">
        <v>4</v>
      </c>
      <c r="T214" s="11">
        <f t="shared" si="49"/>
        <v>25</v>
      </c>
      <c r="U214" s="11">
        <f t="shared" si="50"/>
        <v>22</v>
      </c>
      <c r="V214" t="str">
        <f t="shared" si="51"/>
        <v>SS2 6NQ</v>
      </c>
      <c r="W214" t="str">
        <f t="shared" si="52"/>
        <v>BD8 7DY</v>
      </c>
      <c r="X214" s="12">
        <v>7005</v>
      </c>
      <c r="Y214" s="15">
        <f t="shared" si="42"/>
        <v>25</v>
      </c>
    </row>
    <row r="215" spans="1:25" x14ac:dyDescent="0.2">
      <c r="A215" t="s">
        <v>3</v>
      </c>
      <c r="B215" s="1">
        <v>42693</v>
      </c>
      <c r="C215" s="2" t="str">
        <f t="shared" si="43"/>
        <v>Sat</v>
      </c>
      <c r="D215" t="s">
        <v>26</v>
      </c>
      <c r="E215" t="s">
        <v>23</v>
      </c>
      <c r="F215" t="str">
        <f t="shared" si="44"/>
        <v>D</v>
      </c>
      <c r="G215">
        <f t="shared" si="45"/>
        <v>0</v>
      </c>
      <c r="H215" t="s">
        <v>32</v>
      </c>
      <c r="I215">
        <f t="shared" si="46"/>
        <v>0</v>
      </c>
      <c r="J215">
        <f t="shared" si="41"/>
        <v>11300</v>
      </c>
      <c r="K215" s="15">
        <f t="shared" si="47"/>
        <v>533</v>
      </c>
      <c r="L215" s="15">
        <f t="shared" si="48"/>
        <v>253</v>
      </c>
      <c r="M215">
        <v>8</v>
      </c>
      <c r="N215">
        <v>17</v>
      </c>
      <c r="O215">
        <v>6</v>
      </c>
      <c r="P215">
        <v>8</v>
      </c>
      <c r="Q215" s="9">
        <v>135.941</v>
      </c>
      <c r="R215">
        <v>3</v>
      </c>
      <c r="T215" s="11">
        <f t="shared" si="49"/>
        <v>20</v>
      </c>
      <c r="U215" s="11">
        <f t="shared" si="50"/>
        <v>20</v>
      </c>
      <c r="V215" t="str">
        <f t="shared" si="51"/>
        <v>WS1 4SA</v>
      </c>
      <c r="W215" t="str">
        <f t="shared" si="52"/>
        <v>ME7 4DD</v>
      </c>
      <c r="X215" s="12">
        <v>5420</v>
      </c>
      <c r="Y215" s="15">
        <f t="shared" si="42"/>
        <v>25.5</v>
      </c>
    </row>
    <row r="216" spans="1:25" x14ac:dyDescent="0.2">
      <c r="A216" t="s">
        <v>3</v>
      </c>
      <c r="B216" s="1">
        <v>42696</v>
      </c>
      <c r="C216" s="2" t="str">
        <f t="shared" si="43"/>
        <v>Tue</v>
      </c>
      <c r="D216" t="s">
        <v>4</v>
      </c>
      <c r="E216" t="s">
        <v>25</v>
      </c>
      <c r="F216" t="str">
        <f t="shared" si="44"/>
        <v>E</v>
      </c>
      <c r="G216">
        <f t="shared" si="45"/>
        <v>1</v>
      </c>
      <c r="H216" t="s">
        <v>32</v>
      </c>
      <c r="I216">
        <f t="shared" si="46"/>
        <v>0</v>
      </c>
      <c r="J216">
        <f t="shared" si="41"/>
        <v>28723</v>
      </c>
      <c r="K216" s="15">
        <f t="shared" si="47"/>
        <v>1280</v>
      </c>
      <c r="L216" s="15">
        <f t="shared" si="48"/>
        <v>280</v>
      </c>
      <c r="M216">
        <v>3</v>
      </c>
      <c r="N216">
        <v>19</v>
      </c>
      <c r="O216">
        <v>12</v>
      </c>
      <c r="P216">
        <v>4</v>
      </c>
      <c r="Q216" s="9">
        <v>89.435000000000002</v>
      </c>
      <c r="R216">
        <v>6</v>
      </c>
      <c r="S216" t="s">
        <v>68</v>
      </c>
      <c r="T216" s="11">
        <f t="shared" si="49"/>
        <v>15</v>
      </c>
      <c r="U216" s="11">
        <f t="shared" si="50"/>
        <v>15</v>
      </c>
      <c r="V216" t="str">
        <f t="shared" si="51"/>
        <v>BL6 6JW</v>
      </c>
      <c r="W216" t="str">
        <f t="shared" si="52"/>
        <v>CV6 6GE</v>
      </c>
      <c r="X216" s="12">
        <v>12290</v>
      </c>
      <c r="Y216" s="15">
        <f t="shared" si="42"/>
        <v>30</v>
      </c>
    </row>
    <row r="217" spans="1:25" x14ac:dyDescent="0.2">
      <c r="A217" t="s">
        <v>3</v>
      </c>
      <c r="B217" s="1">
        <v>42696</v>
      </c>
      <c r="C217" s="2" t="str">
        <f t="shared" si="43"/>
        <v>Tue</v>
      </c>
      <c r="D217" t="s">
        <v>6</v>
      </c>
      <c r="E217" t="s">
        <v>12</v>
      </c>
      <c r="F217" t="str">
        <f t="shared" si="44"/>
        <v>E</v>
      </c>
      <c r="G217">
        <f t="shared" si="45"/>
        <v>1</v>
      </c>
      <c r="H217" t="s">
        <v>32</v>
      </c>
      <c r="I217">
        <f t="shared" si="46"/>
        <v>0</v>
      </c>
      <c r="J217">
        <f t="shared" si="41"/>
        <v>25136</v>
      </c>
      <c r="K217" s="15">
        <f t="shared" si="47"/>
        <v>843</v>
      </c>
      <c r="L217" s="15">
        <f t="shared" si="48"/>
        <v>149</v>
      </c>
      <c r="M217">
        <v>4</v>
      </c>
      <c r="N217">
        <v>12</v>
      </c>
      <c r="O217">
        <v>10</v>
      </c>
      <c r="P217">
        <v>6</v>
      </c>
      <c r="Q217" s="9">
        <v>113.80200000000001</v>
      </c>
      <c r="R217">
        <v>4</v>
      </c>
      <c r="S217" t="s">
        <v>68</v>
      </c>
      <c r="T217" s="11">
        <f t="shared" si="49"/>
        <v>25</v>
      </c>
      <c r="U217" s="11">
        <f t="shared" si="50"/>
        <v>20</v>
      </c>
      <c r="V217" t="str">
        <f t="shared" si="51"/>
        <v>BD8 7DY</v>
      </c>
      <c r="W217" t="str">
        <f t="shared" si="52"/>
        <v>NN5 5QA</v>
      </c>
      <c r="X217" s="12">
        <v>15935</v>
      </c>
      <c r="Y217" s="15">
        <f t="shared" si="42"/>
        <v>25</v>
      </c>
    </row>
    <row r="218" spans="1:25" x14ac:dyDescent="0.2">
      <c r="A218" t="s">
        <v>3</v>
      </c>
      <c r="B218" s="1">
        <v>42696</v>
      </c>
      <c r="C218" s="2" t="str">
        <f t="shared" si="43"/>
        <v>Tue</v>
      </c>
      <c r="D218" t="s">
        <v>19</v>
      </c>
      <c r="E218" t="s">
        <v>9</v>
      </c>
      <c r="F218" t="str">
        <f t="shared" si="44"/>
        <v>E</v>
      </c>
      <c r="G218">
        <f t="shared" si="45"/>
        <v>1</v>
      </c>
      <c r="H218" t="s">
        <v>32</v>
      </c>
      <c r="I218">
        <f t="shared" si="46"/>
        <v>0</v>
      </c>
      <c r="J218">
        <f t="shared" ref="J218:J281" si="53">IF(D218="AFC Wimbledon",4850,IF(D218="Bolton",28723,IF(D218="Bradford",25136,IF(D218="Bury",11841,IF(D218="Millwall",20146,IF(D218="Northampton",7653,IF(D218="Oxford",12500,IF(D218="Rochdale",10249,IF(D218="Scunthorpe",9183,IF(D218="Shrewsbury",9875,IF(D218="Southend",12392,IF(D218="Swindon",15728,IF(D218="Walsall",11300,IF(D218="Charlton",26875,IF(D218="Chesterfield",10504,IF(D218="Coventry",32609,IF(D218="Fleetwood Town",5327,IF(D218="Gillingham",11582,IF(D218="Milton Keynes Dons",30500,IF(D218="Oldham",13559,IF(D218="Peterboro",15314,IF(D218="Port Vale",18947,IF(D218="Sheffield United",32702,IF(D218="Bristol Rvs",12000))))))))))))))))))))))))</f>
        <v>12000</v>
      </c>
      <c r="K218" s="15">
        <f t="shared" si="47"/>
        <v>680</v>
      </c>
      <c r="L218" s="15">
        <f t="shared" si="48"/>
        <v>260</v>
      </c>
      <c r="M218">
        <v>10</v>
      </c>
      <c r="N218">
        <v>14</v>
      </c>
      <c r="O218">
        <v>4</v>
      </c>
      <c r="P218">
        <v>10</v>
      </c>
      <c r="Q218" s="9">
        <v>112.877</v>
      </c>
      <c r="R218">
        <v>6</v>
      </c>
      <c r="S218" t="s">
        <v>68</v>
      </c>
      <c r="T218" s="11">
        <f t="shared" si="49"/>
        <v>18</v>
      </c>
      <c r="U218" s="11">
        <f t="shared" si="50"/>
        <v>16</v>
      </c>
      <c r="V218" t="str">
        <f t="shared" si="51"/>
        <v>BS7 0BF</v>
      </c>
      <c r="W218" t="str">
        <f t="shared" si="52"/>
        <v>SE7 8BL</v>
      </c>
      <c r="X218" s="12">
        <v>8089</v>
      </c>
      <c r="Y218" s="15">
        <f t="shared" si="42"/>
        <v>26</v>
      </c>
    </row>
    <row r="219" spans="1:25" x14ac:dyDescent="0.2">
      <c r="A219" t="s">
        <v>3</v>
      </c>
      <c r="B219" s="1">
        <v>42696</v>
      </c>
      <c r="C219" s="2" t="str">
        <f t="shared" si="43"/>
        <v>Tue</v>
      </c>
      <c r="D219" t="s">
        <v>13</v>
      </c>
      <c r="E219" t="s">
        <v>20</v>
      </c>
      <c r="F219" t="str">
        <f t="shared" si="44"/>
        <v>E</v>
      </c>
      <c r="G219">
        <f t="shared" si="45"/>
        <v>1</v>
      </c>
      <c r="H219" t="s">
        <v>32</v>
      </c>
      <c r="I219">
        <f t="shared" si="46"/>
        <v>0</v>
      </c>
      <c r="J219">
        <f t="shared" si="53"/>
        <v>5327</v>
      </c>
      <c r="K219" s="15">
        <f t="shared" si="47"/>
        <v>438</v>
      </c>
      <c r="L219" s="15">
        <f t="shared" si="48"/>
        <v>210</v>
      </c>
      <c r="M219">
        <v>11</v>
      </c>
      <c r="N219">
        <v>23</v>
      </c>
      <c r="O219">
        <v>9</v>
      </c>
      <c r="P219">
        <v>4</v>
      </c>
      <c r="Q219" s="9">
        <v>85.715999999999994</v>
      </c>
      <c r="R219">
        <v>6</v>
      </c>
      <c r="S219" t="s">
        <v>68</v>
      </c>
      <c r="T219" s="11">
        <f t="shared" si="49"/>
        <v>21.5</v>
      </c>
      <c r="U219" s="11">
        <f t="shared" si="50"/>
        <v>21.5</v>
      </c>
      <c r="V219" t="str">
        <f t="shared" si="51"/>
        <v>FY7 6TX</v>
      </c>
      <c r="W219" t="str">
        <f t="shared" si="52"/>
        <v>SY2 6ST</v>
      </c>
      <c r="X219" s="12">
        <v>2111</v>
      </c>
      <c r="Y219" s="15">
        <f t="shared" si="42"/>
        <v>23.5</v>
      </c>
    </row>
    <row r="220" spans="1:25" x14ac:dyDescent="0.2">
      <c r="A220" t="s">
        <v>3</v>
      </c>
      <c r="B220" s="1">
        <v>42696</v>
      </c>
      <c r="C220" s="2" t="str">
        <f t="shared" si="43"/>
        <v>Tue</v>
      </c>
      <c r="D220" t="s">
        <v>10</v>
      </c>
      <c r="E220" t="s">
        <v>27</v>
      </c>
      <c r="F220" t="str">
        <f t="shared" si="44"/>
        <v>E</v>
      </c>
      <c r="G220">
        <f t="shared" si="45"/>
        <v>1</v>
      </c>
      <c r="H220" t="s">
        <v>32</v>
      </c>
      <c r="I220">
        <f t="shared" si="46"/>
        <v>0</v>
      </c>
      <c r="J220">
        <f t="shared" si="53"/>
        <v>20146</v>
      </c>
      <c r="K220" s="15">
        <f t="shared" si="47"/>
        <v>622</v>
      </c>
      <c r="L220" s="15">
        <f t="shared" si="48"/>
        <v>333</v>
      </c>
      <c r="M220">
        <v>13</v>
      </c>
      <c r="N220">
        <v>6</v>
      </c>
      <c r="O220">
        <v>10</v>
      </c>
      <c r="P220">
        <v>8</v>
      </c>
      <c r="Q220" s="9">
        <v>11.39</v>
      </c>
      <c r="R220">
        <v>10</v>
      </c>
      <c r="S220" t="s">
        <v>68</v>
      </c>
      <c r="T220" s="11">
        <f t="shared" si="49"/>
        <v>22</v>
      </c>
      <c r="U220" s="11">
        <f t="shared" si="50"/>
        <v>23</v>
      </c>
      <c r="V220" t="str">
        <f t="shared" si="51"/>
        <v>SE16 3LN</v>
      </c>
      <c r="W220" t="str">
        <f t="shared" si="52"/>
        <v>KT1 3PB</v>
      </c>
      <c r="X220" s="12">
        <v>8614</v>
      </c>
      <c r="Y220" s="15">
        <f t="shared" si="42"/>
        <v>30</v>
      </c>
    </row>
    <row r="221" spans="1:25" x14ac:dyDescent="0.2">
      <c r="A221" t="s">
        <v>3</v>
      </c>
      <c r="B221" s="1">
        <v>42696</v>
      </c>
      <c r="C221" s="2" t="str">
        <f t="shared" si="43"/>
        <v>Tue</v>
      </c>
      <c r="D221" t="s">
        <v>21</v>
      </c>
      <c r="E221" t="s">
        <v>15</v>
      </c>
      <c r="F221" t="str">
        <f t="shared" si="44"/>
        <v>E</v>
      </c>
      <c r="G221">
        <f t="shared" si="45"/>
        <v>1</v>
      </c>
      <c r="H221" t="s">
        <v>32</v>
      </c>
      <c r="I221">
        <f t="shared" si="46"/>
        <v>0</v>
      </c>
      <c r="J221">
        <f t="shared" si="53"/>
        <v>30500</v>
      </c>
      <c r="K221" s="15">
        <f t="shared" si="47"/>
        <v>583</v>
      </c>
      <c r="L221" s="15">
        <f t="shared" si="48"/>
        <v>312</v>
      </c>
      <c r="M221">
        <v>16</v>
      </c>
      <c r="N221">
        <v>24</v>
      </c>
      <c r="O221">
        <v>2</v>
      </c>
      <c r="P221">
        <v>3</v>
      </c>
      <c r="Q221" s="9">
        <v>90.703999999999994</v>
      </c>
      <c r="R221">
        <v>8</v>
      </c>
      <c r="T221" s="11">
        <f t="shared" si="49"/>
        <v>22</v>
      </c>
      <c r="U221" s="11">
        <f t="shared" si="50"/>
        <v>22</v>
      </c>
      <c r="V221" t="str">
        <f t="shared" si="51"/>
        <v>MK1 1ST</v>
      </c>
      <c r="W221" t="str">
        <f t="shared" si="52"/>
        <v>S41 8NZ</v>
      </c>
      <c r="X221" s="12">
        <v>7429</v>
      </c>
      <c r="Y221" s="15">
        <f t="shared" si="42"/>
        <v>27</v>
      </c>
    </row>
    <row r="222" spans="1:25" x14ac:dyDescent="0.2">
      <c r="A222" t="s">
        <v>3</v>
      </c>
      <c r="B222" s="1">
        <v>42696</v>
      </c>
      <c r="C222" s="2" t="str">
        <f t="shared" si="43"/>
        <v>Tue</v>
      </c>
      <c r="D222" t="s">
        <v>14</v>
      </c>
      <c r="E222" t="s">
        <v>23</v>
      </c>
      <c r="F222" t="str">
        <f t="shared" si="44"/>
        <v>E</v>
      </c>
      <c r="G222">
        <f t="shared" si="45"/>
        <v>1</v>
      </c>
      <c r="H222" t="s">
        <v>32</v>
      </c>
      <c r="I222">
        <f t="shared" si="46"/>
        <v>0</v>
      </c>
      <c r="J222">
        <f t="shared" si="53"/>
        <v>12500</v>
      </c>
      <c r="K222" s="15">
        <f t="shared" si="47"/>
        <v>533</v>
      </c>
      <c r="L222" s="15">
        <f t="shared" si="48"/>
        <v>290</v>
      </c>
      <c r="M222">
        <v>17</v>
      </c>
      <c r="N222">
        <v>16</v>
      </c>
      <c r="O222">
        <v>7</v>
      </c>
      <c r="P222">
        <v>7</v>
      </c>
      <c r="Q222" s="9">
        <v>79.55</v>
      </c>
      <c r="R222">
        <v>7</v>
      </c>
      <c r="S222" t="s">
        <v>68</v>
      </c>
      <c r="T222" s="11">
        <f t="shared" si="49"/>
        <v>20</v>
      </c>
      <c r="U222" s="11">
        <f t="shared" si="50"/>
        <v>21</v>
      </c>
      <c r="V222" t="str">
        <f t="shared" si="51"/>
        <v>OX4 4XP</v>
      </c>
      <c r="W222" t="str">
        <f t="shared" si="52"/>
        <v>ME7 4DD</v>
      </c>
      <c r="X222" s="12">
        <v>6848</v>
      </c>
      <c r="Y222" s="15">
        <f t="shared" si="42"/>
        <v>24</v>
      </c>
    </row>
    <row r="223" spans="1:25" x14ac:dyDescent="0.2">
      <c r="A223" t="s">
        <v>3</v>
      </c>
      <c r="B223" s="1">
        <v>42696</v>
      </c>
      <c r="C223" s="2" t="str">
        <f t="shared" si="43"/>
        <v>Tue</v>
      </c>
      <c r="D223" t="s">
        <v>17</v>
      </c>
      <c r="E223" t="s">
        <v>18</v>
      </c>
      <c r="F223" t="str">
        <f t="shared" si="44"/>
        <v>E</v>
      </c>
      <c r="G223">
        <f t="shared" si="45"/>
        <v>1</v>
      </c>
      <c r="H223" t="s">
        <v>32</v>
      </c>
      <c r="I223">
        <f t="shared" si="46"/>
        <v>0</v>
      </c>
      <c r="J223">
        <f t="shared" si="53"/>
        <v>15314</v>
      </c>
      <c r="K223" s="15">
        <f t="shared" si="47"/>
        <v>508</v>
      </c>
      <c r="L223" s="15">
        <f t="shared" si="48"/>
        <v>295</v>
      </c>
      <c r="M223">
        <v>5</v>
      </c>
      <c r="N223">
        <v>1</v>
      </c>
      <c r="O223">
        <v>9</v>
      </c>
      <c r="P223">
        <v>15</v>
      </c>
      <c r="Q223" s="9">
        <v>73.146000000000001</v>
      </c>
      <c r="R223">
        <v>7</v>
      </c>
      <c r="T223" s="11">
        <f t="shared" si="49"/>
        <v>21</v>
      </c>
      <c r="U223" s="11">
        <f t="shared" si="50"/>
        <v>20</v>
      </c>
      <c r="V223" t="str">
        <f t="shared" si="51"/>
        <v>PE2 8AL</v>
      </c>
      <c r="W223" t="str">
        <f t="shared" si="52"/>
        <v>DN15 8TD</v>
      </c>
      <c r="X223" s="12">
        <v>5222</v>
      </c>
      <c r="Y223" s="15">
        <f t="shared" si="42"/>
        <v>26</v>
      </c>
    </row>
    <row r="224" spans="1:25" x14ac:dyDescent="0.2">
      <c r="A224" t="s">
        <v>3</v>
      </c>
      <c r="B224" s="1">
        <v>42696</v>
      </c>
      <c r="C224" s="2" t="str">
        <f t="shared" si="43"/>
        <v>Tue</v>
      </c>
      <c r="D224" t="s">
        <v>7</v>
      </c>
      <c r="E224" t="s">
        <v>11</v>
      </c>
      <c r="F224" t="str">
        <f t="shared" si="44"/>
        <v>E</v>
      </c>
      <c r="G224">
        <f t="shared" si="45"/>
        <v>1</v>
      </c>
      <c r="H224" t="s">
        <v>32</v>
      </c>
      <c r="I224">
        <f t="shared" si="46"/>
        <v>0</v>
      </c>
      <c r="J224">
        <f t="shared" si="53"/>
        <v>18947</v>
      </c>
      <c r="K224" s="15">
        <f t="shared" si="47"/>
        <v>729</v>
      </c>
      <c r="L224" s="15">
        <f t="shared" si="48"/>
        <v>345</v>
      </c>
      <c r="M224">
        <v>13</v>
      </c>
      <c r="N224">
        <v>22</v>
      </c>
      <c r="O224">
        <v>5</v>
      </c>
      <c r="P224">
        <v>2</v>
      </c>
      <c r="Q224" s="9">
        <v>34.957999999999998</v>
      </c>
      <c r="R224">
        <v>6</v>
      </c>
      <c r="T224" s="11">
        <f t="shared" si="49"/>
        <v>22</v>
      </c>
      <c r="U224" s="11">
        <f t="shared" si="50"/>
        <v>22</v>
      </c>
      <c r="V224" t="str">
        <f t="shared" si="51"/>
        <v>ST6 1AW</v>
      </c>
      <c r="W224" t="str">
        <f t="shared" si="52"/>
        <v>OL1 2PA</v>
      </c>
      <c r="X224" s="12">
        <v>3152</v>
      </c>
      <c r="Y224" s="15">
        <f t="shared" si="42"/>
        <v>23</v>
      </c>
    </row>
    <row r="225" spans="1:25" x14ac:dyDescent="0.2">
      <c r="A225" t="s">
        <v>3</v>
      </c>
      <c r="B225" s="1">
        <v>42696</v>
      </c>
      <c r="C225" s="2" t="str">
        <f t="shared" si="43"/>
        <v>Tue</v>
      </c>
      <c r="D225" t="s">
        <v>16</v>
      </c>
      <c r="E225" t="s">
        <v>26</v>
      </c>
      <c r="F225" t="str">
        <f t="shared" si="44"/>
        <v>E</v>
      </c>
      <c r="G225">
        <f t="shared" si="45"/>
        <v>1</v>
      </c>
      <c r="H225" t="s">
        <v>32</v>
      </c>
      <c r="I225">
        <f t="shared" si="46"/>
        <v>0</v>
      </c>
      <c r="J225">
        <f t="shared" si="53"/>
        <v>10249</v>
      </c>
      <c r="K225" s="15">
        <f t="shared" si="47"/>
        <v>792</v>
      </c>
      <c r="L225" s="15">
        <f t="shared" si="48"/>
        <v>290</v>
      </c>
      <c r="M225">
        <v>8</v>
      </c>
      <c r="N225">
        <v>12</v>
      </c>
      <c r="O225">
        <v>9</v>
      </c>
      <c r="P225">
        <v>5</v>
      </c>
      <c r="Q225" s="9">
        <v>73.299000000000007</v>
      </c>
      <c r="R225">
        <v>6</v>
      </c>
      <c r="S225" t="s">
        <v>68</v>
      </c>
      <c r="T225" s="11">
        <f t="shared" si="49"/>
        <v>17</v>
      </c>
      <c r="U225" s="11">
        <f t="shared" si="50"/>
        <v>22</v>
      </c>
      <c r="V225" t="str">
        <f t="shared" si="51"/>
        <v>OL11 5DR</v>
      </c>
      <c r="W225" t="str">
        <f t="shared" si="52"/>
        <v>WS1 4SA</v>
      </c>
      <c r="X225" s="12">
        <v>1907</v>
      </c>
      <c r="Y225" s="15">
        <f t="shared" si="42"/>
        <v>22</v>
      </c>
    </row>
    <row r="226" spans="1:25" x14ac:dyDescent="0.2">
      <c r="A226" t="s">
        <v>3</v>
      </c>
      <c r="B226" s="1">
        <v>42696</v>
      </c>
      <c r="C226" s="2" t="str">
        <f t="shared" si="43"/>
        <v>Tue</v>
      </c>
      <c r="D226" t="s">
        <v>5</v>
      </c>
      <c r="E226" t="s">
        <v>8</v>
      </c>
      <c r="F226" t="str">
        <f t="shared" si="44"/>
        <v>E</v>
      </c>
      <c r="G226">
        <f t="shared" si="45"/>
        <v>1</v>
      </c>
      <c r="H226" t="s">
        <v>32</v>
      </c>
      <c r="I226">
        <f t="shared" si="46"/>
        <v>0</v>
      </c>
      <c r="J226">
        <f t="shared" si="53"/>
        <v>32702</v>
      </c>
      <c r="K226" s="15">
        <f t="shared" si="47"/>
        <v>608</v>
      </c>
      <c r="L226" s="15">
        <f t="shared" si="48"/>
        <v>288</v>
      </c>
      <c r="M226">
        <v>2</v>
      </c>
      <c r="N226">
        <v>18</v>
      </c>
      <c r="O226">
        <v>13</v>
      </c>
      <c r="P226">
        <v>0</v>
      </c>
      <c r="Q226" s="9">
        <v>36.948</v>
      </c>
      <c r="R226">
        <v>7</v>
      </c>
      <c r="S226" t="s">
        <v>68</v>
      </c>
      <c r="T226" s="11">
        <f t="shared" si="49"/>
        <v>20</v>
      </c>
      <c r="U226" s="11">
        <f t="shared" si="50"/>
        <v>20</v>
      </c>
      <c r="V226" t="str">
        <f t="shared" si="51"/>
        <v>S2 4SU</v>
      </c>
      <c r="W226" t="str">
        <f t="shared" si="52"/>
        <v>BL9 9HR</v>
      </c>
      <c r="X226" s="12">
        <v>19022</v>
      </c>
      <c r="Y226" s="15">
        <f t="shared" si="42"/>
        <v>29</v>
      </c>
    </row>
    <row r="227" spans="1:25" x14ac:dyDescent="0.2">
      <c r="A227" t="s">
        <v>3</v>
      </c>
      <c r="B227" s="1">
        <v>42696</v>
      </c>
      <c r="C227" s="2" t="str">
        <f t="shared" si="43"/>
        <v>Tue</v>
      </c>
      <c r="D227" t="s">
        <v>22</v>
      </c>
      <c r="E227" t="s">
        <v>24</v>
      </c>
      <c r="F227" t="str">
        <f t="shared" si="44"/>
        <v>E</v>
      </c>
      <c r="G227">
        <f t="shared" si="45"/>
        <v>1</v>
      </c>
      <c r="H227" t="s">
        <v>32</v>
      </c>
      <c r="I227">
        <f t="shared" si="46"/>
        <v>0</v>
      </c>
      <c r="J227">
        <f t="shared" si="53"/>
        <v>12392</v>
      </c>
      <c r="K227" s="15">
        <f t="shared" si="47"/>
        <v>503</v>
      </c>
      <c r="L227" s="15">
        <f t="shared" si="48"/>
        <v>395</v>
      </c>
      <c r="M227">
        <v>10</v>
      </c>
      <c r="N227">
        <v>20</v>
      </c>
      <c r="O227">
        <v>11</v>
      </c>
      <c r="P227">
        <v>4</v>
      </c>
      <c r="Q227" s="9">
        <v>106.31100000000001</v>
      </c>
      <c r="R227">
        <v>3</v>
      </c>
      <c r="T227" s="11">
        <f t="shared" si="49"/>
        <v>25</v>
      </c>
      <c r="U227" s="11">
        <f t="shared" si="50"/>
        <v>22</v>
      </c>
      <c r="V227" t="str">
        <f t="shared" si="51"/>
        <v>SS2 6NQ</v>
      </c>
      <c r="W227" t="str">
        <f t="shared" si="52"/>
        <v>SN1 2ED</v>
      </c>
      <c r="X227" s="12">
        <v>5715</v>
      </c>
      <c r="Y227" s="15">
        <f t="shared" si="42"/>
        <v>25</v>
      </c>
    </row>
    <row r="228" spans="1:25" x14ac:dyDescent="0.2">
      <c r="A228" t="s">
        <v>3</v>
      </c>
      <c r="B228" s="1">
        <v>42700</v>
      </c>
      <c r="C228" s="2" t="str">
        <f t="shared" si="43"/>
        <v>Sat</v>
      </c>
      <c r="D228" t="s">
        <v>27</v>
      </c>
      <c r="E228" t="s">
        <v>13</v>
      </c>
      <c r="F228" t="str">
        <f t="shared" si="44"/>
        <v>D</v>
      </c>
      <c r="G228">
        <f t="shared" si="45"/>
        <v>0</v>
      </c>
      <c r="H228" t="s">
        <v>32</v>
      </c>
      <c r="I228">
        <f t="shared" si="46"/>
        <v>0</v>
      </c>
      <c r="J228">
        <f t="shared" si="53"/>
        <v>4850</v>
      </c>
      <c r="K228" s="15">
        <f t="shared" si="47"/>
        <v>210</v>
      </c>
      <c r="L228" s="15">
        <f t="shared" si="48"/>
        <v>260</v>
      </c>
      <c r="M228">
        <v>7</v>
      </c>
      <c r="N228">
        <v>8</v>
      </c>
      <c r="O228">
        <v>6</v>
      </c>
      <c r="P228">
        <v>7</v>
      </c>
      <c r="Q228" s="9">
        <v>208.268</v>
      </c>
      <c r="R228">
        <v>7</v>
      </c>
      <c r="T228" s="11">
        <f t="shared" si="49"/>
        <v>17</v>
      </c>
      <c r="U228" s="11">
        <f t="shared" si="50"/>
        <v>17</v>
      </c>
      <c r="V228" t="str">
        <f t="shared" si="51"/>
        <v>KT1 3PB</v>
      </c>
      <c r="W228" t="str">
        <f t="shared" si="52"/>
        <v>FY7 6TX</v>
      </c>
      <c r="X228" s="12">
        <v>4023</v>
      </c>
      <c r="Y228" s="15">
        <f t="shared" si="42"/>
        <v>29</v>
      </c>
    </row>
    <row r="229" spans="1:25" x14ac:dyDescent="0.2">
      <c r="A229" t="s">
        <v>3</v>
      </c>
      <c r="B229" s="1">
        <v>42700</v>
      </c>
      <c r="C229" s="2" t="str">
        <f t="shared" si="43"/>
        <v>Sat</v>
      </c>
      <c r="D229" t="s">
        <v>8</v>
      </c>
      <c r="E229" t="s">
        <v>10</v>
      </c>
      <c r="F229" t="str">
        <f t="shared" si="44"/>
        <v>D</v>
      </c>
      <c r="G229">
        <f t="shared" si="45"/>
        <v>0</v>
      </c>
      <c r="H229" t="s">
        <v>32</v>
      </c>
      <c r="I229">
        <f t="shared" si="46"/>
        <v>0</v>
      </c>
      <c r="J229">
        <f t="shared" si="53"/>
        <v>11841</v>
      </c>
      <c r="K229" s="15">
        <f t="shared" si="47"/>
        <v>827</v>
      </c>
      <c r="L229" s="15">
        <f t="shared" si="48"/>
        <v>275</v>
      </c>
      <c r="M229">
        <v>19</v>
      </c>
      <c r="N229">
        <v>13</v>
      </c>
      <c r="O229">
        <v>0</v>
      </c>
      <c r="P229">
        <v>10</v>
      </c>
      <c r="Q229" s="9">
        <v>172.89500000000001</v>
      </c>
      <c r="R229">
        <v>-1</v>
      </c>
      <c r="S229" t="s">
        <v>73</v>
      </c>
      <c r="T229" s="11">
        <f t="shared" si="49"/>
        <v>18</v>
      </c>
      <c r="U229" s="11">
        <f t="shared" si="50"/>
        <v>18</v>
      </c>
      <c r="V229" t="str">
        <f t="shared" si="51"/>
        <v>BL9 9HR</v>
      </c>
      <c r="W229" t="str">
        <f t="shared" si="52"/>
        <v>SE16 3LN</v>
      </c>
      <c r="X229" s="12">
        <v>3028</v>
      </c>
      <c r="Y229" s="15">
        <f t="shared" si="42"/>
        <v>22</v>
      </c>
    </row>
    <row r="230" spans="1:25" x14ac:dyDescent="0.2">
      <c r="A230" t="s">
        <v>3</v>
      </c>
      <c r="B230" s="1">
        <v>42700</v>
      </c>
      <c r="C230" s="2" t="str">
        <f t="shared" si="43"/>
        <v>Sat</v>
      </c>
      <c r="D230" t="s">
        <v>9</v>
      </c>
      <c r="E230" t="s">
        <v>5</v>
      </c>
      <c r="F230" t="str">
        <f t="shared" si="44"/>
        <v>D</v>
      </c>
      <c r="G230">
        <f t="shared" si="45"/>
        <v>0</v>
      </c>
      <c r="H230" t="s">
        <v>32</v>
      </c>
      <c r="I230">
        <f t="shared" si="46"/>
        <v>0</v>
      </c>
      <c r="J230">
        <f t="shared" si="53"/>
        <v>26875</v>
      </c>
      <c r="K230" s="15">
        <f t="shared" si="47"/>
        <v>1622</v>
      </c>
      <c r="L230" s="15">
        <f t="shared" si="48"/>
        <v>175</v>
      </c>
      <c r="M230">
        <v>11</v>
      </c>
      <c r="N230">
        <v>2</v>
      </c>
      <c r="O230">
        <v>10</v>
      </c>
      <c r="P230">
        <v>13</v>
      </c>
      <c r="Q230" s="9">
        <v>144.97300000000001</v>
      </c>
      <c r="R230">
        <v>6</v>
      </c>
      <c r="T230" s="11">
        <f t="shared" si="49"/>
        <v>20</v>
      </c>
      <c r="U230" s="11">
        <f t="shared" si="50"/>
        <v>20</v>
      </c>
      <c r="V230" t="str">
        <f t="shared" si="51"/>
        <v>SE7 8BL</v>
      </c>
      <c r="W230" t="str">
        <f t="shared" si="52"/>
        <v>S2 4SU</v>
      </c>
      <c r="X230" s="12">
        <v>12580</v>
      </c>
      <c r="Y230" s="15">
        <f t="shared" si="42"/>
        <v>35</v>
      </c>
    </row>
    <row r="231" spans="1:25" x14ac:dyDescent="0.2">
      <c r="A231" t="s">
        <v>3</v>
      </c>
      <c r="B231" s="1">
        <v>42700</v>
      </c>
      <c r="C231" s="2" t="str">
        <f t="shared" si="43"/>
        <v>Sat</v>
      </c>
      <c r="D231" t="s">
        <v>15</v>
      </c>
      <c r="E231" t="s">
        <v>19</v>
      </c>
      <c r="F231" t="str">
        <f t="shared" si="44"/>
        <v>D</v>
      </c>
      <c r="G231">
        <f t="shared" si="45"/>
        <v>0</v>
      </c>
      <c r="H231" t="s">
        <v>32</v>
      </c>
      <c r="I231">
        <f t="shared" si="46"/>
        <v>0</v>
      </c>
      <c r="J231">
        <f t="shared" si="53"/>
        <v>10504</v>
      </c>
      <c r="K231" s="15">
        <f t="shared" si="47"/>
        <v>1159</v>
      </c>
      <c r="L231" s="15">
        <f t="shared" si="48"/>
        <v>345</v>
      </c>
      <c r="M231">
        <v>23</v>
      </c>
      <c r="N231">
        <v>10</v>
      </c>
      <c r="O231">
        <v>6</v>
      </c>
      <c r="P231">
        <v>4</v>
      </c>
      <c r="Q231" s="9">
        <v>131.70099999999999</v>
      </c>
      <c r="R231">
        <v>4</v>
      </c>
      <c r="T231" s="11">
        <f t="shared" si="49"/>
        <v>22</v>
      </c>
      <c r="U231" s="11">
        <f t="shared" si="50"/>
        <v>20</v>
      </c>
      <c r="V231" t="str">
        <f t="shared" si="51"/>
        <v>S41 8NZ</v>
      </c>
      <c r="W231" t="str">
        <f t="shared" si="52"/>
        <v>BS7 0BF</v>
      </c>
      <c r="X231" s="12">
        <v>6330</v>
      </c>
      <c r="Y231" s="15">
        <f t="shared" si="42"/>
        <v>26</v>
      </c>
    </row>
    <row r="232" spans="1:25" x14ac:dyDescent="0.2">
      <c r="A232" t="s">
        <v>3</v>
      </c>
      <c r="B232" s="1">
        <v>42700</v>
      </c>
      <c r="C232" s="2" t="str">
        <f t="shared" si="43"/>
        <v>Sat</v>
      </c>
      <c r="D232" t="s">
        <v>25</v>
      </c>
      <c r="E232" t="s">
        <v>21</v>
      </c>
      <c r="F232" t="str">
        <f t="shared" si="44"/>
        <v>D</v>
      </c>
      <c r="G232">
        <f t="shared" si="45"/>
        <v>0</v>
      </c>
      <c r="H232" t="s">
        <v>32</v>
      </c>
      <c r="I232">
        <f t="shared" si="46"/>
        <v>0</v>
      </c>
      <c r="J232">
        <f t="shared" si="53"/>
        <v>32609</v>
      </c>
      <c r="K232" s="15">
        <f t="shared" si="47"/>
        <v>596</v>
      </c>
      <c r="L232" s="15">
        <f t="shared" si="48"/>
        <v>299</v>
      </c>
      <c r="M232">
        <v>20</v>
      </c>
      <c r="N232">
        <v>21</v>
      </c>
      <c r="O232">
        <v>3</v>
      </c>
      <c r="P232">
        <v>5</v>
      </c>
      <c r="Q232" s="9">
        <v>44.222000000000001</v>
      </c>
      <c r="R232">
        <v>10</v>
      </c>
      <c r="T232" s="11">
        <f t="shared" si="49"/>
        <v>22</v>
      </c>
      <c r="U232" s="11">
        <f t="shared" si="50"/>
        <v>22</v>
      </c>
      <c r="V232" t="str">
        <f t="shared" si="51"/>
        <v>CV6 6GE</v>
      </c>
      <c r="W232" t="str">
        <f t="shared" si="52"/>
        <v>MK1 1ST</v>
      </c>
      <c r="X232" s="12">
        <v>9640</v>
      </c>
      <c r="Y232" s="15">
        <f t="shared" si="42"/>
        <v>26</v>
      </c>
    </row>
    <row r="233" spans="1:25" x14ac:dyDescent="0.2">
      <c r="A233" t="s">
        <v>3</v>
      </c>
      <c r="B233" s="1">
        <v>42700</v>
      </c>
      <c r="C233" s="2" t="str">
        <f t="shared" si="43"/>
        <v>Sat</v>
      </c>
      <c r="D233" t="s">
        <v>23</v>
      </c>
      <c r="E233" t="s">
        <v>16</v>
      </c>
      <c r="F233" t="str">
        <f t="shared" si="44"/>
        <v>D</v>
      </c>
      <c r="G233">
        <f t="shared" si="45"/>
        <v>0</v>
      </c>
      <c r="H233" t="s">
        <v>32</v>
      </c>
      <c r="I233">
        <f t="shared" si="46"/>
        <v>0</v>
      </c>
      <c r="J233">
        <f t="shared" si="53"/>
        <v>11582</v>
      </c>
      <c r="K233" s="15">
        <f t="shared" si="47"/>
        <v>497</v>
      </c>
      <c r="L233" s="15">
        <f t="shared" si="48"/>
        <v>285</v>
      </c>
      <c r="M233">
        <v>17</v>
      </c>
      <c r="N233">
        <v>5</v>
      </c>
      <c r="O233">
        <v>9</v>
      </c>
      <c r="P233">
        <v>9</v>
      </c>
      <c r="Q233" s="9">
        <v>192.82300000000001</v>
      </c>
      <c r="R233">
        <v>8</v>
      </c>
      <c r="T233" s="11">
        <f t="shared" si="49"/>
        <v>12</v>
      </c>
      <c r="U233" s="11">
        <f t="shared" si="50"/>
        <v>10</v>
      </c>
      <c r="V233" t="str">
        <f t="shared" si="51"/>
        <v>ME7 4DD</v>
      </c>
      <c r="W233" t="str">
        <f t="shared" si="52"/>
        <v>OL11 5DR</v>
      </c>
      <c r="X233" s="12">
        <v>5409</v>
      </c>
      <c r="Y233" s="15">
        <f t="shared" si="42"/>
        <v>28</v>
      </c>
    </row>
    <row r="234" spans="1:25" x14ac:dyDescent="0.2">
      <c r="A234" t="s">
        <v>3</v>
      </c>
      <c r="B234" s="1">
        <v>42700</v>
      </c>
      <c r="C234" s="2" t="str">
        <f t="shared" si="43"/>
        <v>Sat</v>
      </c>
      <c r="D234" t="s">
        <v>12</v>
      </c>
      <c r="E234" t="s">
        <v>4</v>
      </c>
      <c r="F234" t="str">
        <f t="shared" si="44"/>
        <v>D</v>
      </c>
      <c r="G234">
        <f t="shared" si="45"/>
        <v>0</v>
      </c>
      <c r="H234" t="s">
        <v>32</v>
      </c>
      <c r="I234">
        <f t="shared" si="46"/>
        <v>0</v>
      </c>
      <c r="J234">
        <f t="shared" si="53"/>
        <v>7653</v>
      </c>
      <c r="K234" s="15">
        <f t="shared" si="47"/>
        <v>912</v>
      </c>
      <c r="L234" s="15">
        <f t="shared" si="48"/>
        <v>249</v>
      </c>
      <c r="M234">
        <v>15</v>
      </c>
      <c r="N234">
        <v>3</v>
      </c>
      <c r="O234">
        <v>3</v>
      </c>
      <c r="P234">
        <v>12</v>
      </c>
      <c r="Q234" s="9">
        <v>114.575</v>
      </c>
      <c r="R234">
        <v>10</v>
      </c>
      <c r="T234" s="11">
        <f t="shared" si="49"/>
        <v>24</v>
      </c>
      <c r="U234" s="11">
        <f t="shared" si="50"/>
        <v>24</v>
      </c>
      <c r="V234" t="str">
        <f t="shared" si="51"/>
        <v>NN5 5QA</v>
      </c>
      <c r="W234" t="str">
        <f t="shared" si="52"/>
        <v>BL6 6JW</v>
      </c>
      <c r="X234" s="12">
        <v>7018</v>
      </c>
      <c r="Y234" s="15">
        <f t="shared" si="42"/>
        <v>24</v>
      </c>
    </row>
    <row r="235" spans="1:25" x14ac:dyDescent="0.2">
      <c r="A235" t="s">
        <v>3</v>
      </c>
      <c r="B235" s="1">
        <v>42700</v>
      </c>
      <c r="C235" s="2" t="str">
        <f t="shared" si="43"/>
        <v>Sat</v>
      </c>
      <c r="D235" t="s">
        <v>18</v>
      </c>
      <c r="E235" t="s">
        <v>14</v>
      </c>
      <c r="F235" t="str">
        <f t="shared" si="44"/>
        <v>D</v>
      </c>
      <c r="G235">
        <f t="shared" si="45"/>
        <v>0</v>
      </c>
      <c r="H235" t="s">
        <v>32</v>
      </c>
      <c r="I235">
        <f t="shared" si="46"/>
        <v>0</v>
      </c>
      <c r="J235">
        <f t="shared" si="53"/>
        <v>9183</v>
      </c>
      <c r="K235" s="15">
        <f t="shared" si="47"/>
        <v>1000</v>
      </c>
      <c r="L235" s="15">
        <f t="shared" si="48"/>
        <v>288</v>
      </c>
      <c r="M235">
        <v>1</v>
      </c>
      <c r="N235">
        <v>14</v>
      </c>
      <c r="O235">
        <v>13</v>
      </c>
      <c r="P235">
        <v>7</v>
      </c>
      <c r="Q235" s="9">
        <v>131.11600000000001</v>
      </c>
      <c r="R235">
        <v>2</v>
      </c>
      <c r="S235" t="s">
        <v>72</v>
      </c>
      <c r="T235" s="11">
        <f t="shared" si="49"/>
        <v>18</v>
      </c>
      <c r="U235" s="11">
        <f t="shared" si="50"/>
        <v>22</v>
      </c>
      <c r="V235" t="str">
        <f t="shared" si="51"/>
        <v>DN15 8TD</v>
      </c>
      <c r="W235" t="str">
        <f t="shared" si="52"/>
        <v>OX4 4XP</v>
      </c>
      <c r="X235" s="12">
        <v>4338</v>
      </c>
      <c r="Y235" s="15">
        <f t="shared" si="42"/>
        <v>23</v>
      </c>
    </row>
    <row r="236" spans="1:25" x14ac:dyDescent="0.2">
      <c r="A236" t="s">
        <v>3</v>
      </c>
      <c r="B236" s="1">
        <v>42700</v>
      </c>
      <c r="C236" s="2" t="str">
        <f t="shared" si="43"/>
        <v>Sat</v>
      </c>
      <c r="D236" t="s">
        <v>20</v>
      </c>
      <c r="E236" t="s">
        <v>7</v>
      </c>
      <c r="F236" t="str">
        <f t="shared" si="44"/>
        <v>D</v>
      </c>
      <c r="G236">
        <f t="shared" si="45"/>
        <v>0</v>
      </c>
      <c r="H236" t="s">
        <v>32</v>
      </c>
      <c r="I236">
        <f t="shared" si="46"/>
        <v>0</v>
      </c>
      <c r="J236">
        <f t="shared" si="53"/>
        <v>9875</v>
      </c>
      <c r="K236" s="15">
        <f t="shared" si="47"/>
        <v>697</v>
      </c>
      <c r="L236" s="15">
        <f t="shared" si="48"/>
        <v>285</v>
      </c>
      <c r="M236">
        <v>24</v>
      </c>
      <c r="N236">
        <v>13</v>
      </c>
      <c r="O236">
        <v>5</v>
      </c>
      <c r="P236">
        <v>5</v>
      </c>
      <c r="Q236" s="9">
        <v>34.161000000000001</v>
      </c>
      <c r="R236">
        <v>2</v>
      </c>
      <c r="T236" s="11">
        <f t="shared" si="49"/>
        <v>20</v>
      </c>
      <c r="U236" s="11">
        <f t="shared" si="50"/>
        <v>20</v>
      </c>
      <c r="V236" t="str">
        <f t="shared" si="51"/>
        <v>SY2 6ST</v>
      </c>
      <c r="W236" t="str">
        <f t="shared" si="52"/>
        <v>ST6 1AW</v>
      </c>
      <c r="X236" s="12">
        <v>5429</v>
      </c>
      <c r="Y236" s="15">
        <f t="shared" si="42"/>
        <v>22</v>
      </c>
    </row>
    <row r="237" spans="1:25" x14ac:dyDescent="0.2">
      <c r="A237" t="s">
        <v>3</v>
      </c>
      <c r="B237" s="1">
        <v>42700</v>
      </c>
      <c r="C237" s="2" t="str">
        <f t="shared" si="43"/>
        <v>Sat</v>
      </c>
      <c r="D237" t="s">
        <v>24</v>
      </c>
      <c r="E237" t="s">
        <v>6</v>
      </c>
      <c r="F237" t="str">
        <f t="shared" si="44"/>
        <v>D</v>
      </c>
      <c r="G237">
        <f t="shared" si="45"/>
        <v>0</v>
      </c>
      <c r="H237" t="s">
        <v>32</v>
      </c>
      <c r="I237">
        <f t="shared" si="46"/>
        <v>0</v>
      </c>
      <c r="J237">
        <f t="shared" si="53"/>
        <v>15728</v>
      </c>
      <c r="K237" s="15">
        <f t="shared" si="47"/>
        <v>1437</v>
      </c>
      <c r="L237" s="15">
        <f t="shared" si="48"/>
        <v>345</v>
      </c>
      <c r="M237">
        <v>18</v>
      </c>
      <c r="N237">
        <v>4</v>
      </c>
      <c r="O237">
        <v>7</v>
      </c>
      <c r="P237">
        <v>9</v>
      </c>
      <c r="Q237" s="9">
        <v>154.86000000000001</v>
      </c>
      <c r="R237">
        <v>7</v>
      </c>
      <c r="T237" s="11">
        <f t="shared" si="49"/>
        <v>19</v>
      </c>
      <c r="U237" s="11">
        <f t="shared" si="50"/>
        <v>19</v>
      </c>
      <c r="V237" t="str">
        <f t="shared" si="51"/>
        <v>SN1 2ED</v>
      </c>
      <c r="W237" t="str">
        <f t="shared" si="52"/>
        <v>BD8 7DY</v>
      </c>
      <c r="X237" s="12">
        <v>6344</v>
      </c>
      <c r="Y237" s="15">
        <f t="shared" si="42"/>
        <v>25</v>
      </c>
    </row>
    <row r="238" spans="1:25" x14ac:dyDescent="0.2">
      <c r="A238" t="s">
        <v>3</v>
      </c>
      <c r="B238" s="1">
        <v>42700</v>
      </c>
      <c r="C238" s="2" t="str">
        <f t="shared" si="43"/>
        <v>Sat</v>
      </c>
      <c r="D238" t="s">
        <v>26</v>
      </c>
      <c r="E238" t="s">
        <v>22</v>
      </c>
      <c r="F238" t="str">
        <f t="shared" si="44"/>
        <v>D</v>
      </c>
      <c r="G238">
        <f t="shared" si="45"/>
        <v>0</v>
      </c>
      <c r="H238" t="s">
        <v>32</v>
      </c>
      <c r="I238">
        <f t="shared" si="46"/>
        <v>0</v>
      </c>
      <c r="J238">
        <f t="shared" si="53"/>
        <v>11300</v>
      </c>
      <c r="K238" s="15">
        <f t="shared" si="47"/>
        <v>635</v>
      </c>
      <c r="L238" s="15">
        <f t="shared" si="48"/>
        <v>253</v>
      </c>
      <c r="M238">
        <v>15</v>
      </c>
      <c r="N238">
        <v>10</v>
      </c>
      <c r="O238">
        <v>3</v>
      </c>
      <c r="P238">
        <v>9</v>
      </c>
      <c r="Q238" s="9">
        <v>134.38300000000001</v>
      </c>
      <c r="R238">
        <v>4</v>
      </c>
      <c r="T238" s="11">
        <f t="shared" si="49"/>
        <v>20</v>
      </c>
      <c r="U238" s="11">
        <f t="shared" si="50"/>
        <v>20</v>
      </c>
      <c r="V238" t="str">
        <f t="shared" si="51"/>
        <v>WS1 4SA</v>
      </c>
      <c r="W238" t="str">
        <f t="shared" si="52"/>
        <v>SS2 6NQ</v>
      </c>
      <c r="X238" s="12">
        <v>4342</v>
      </c>
      <c r="Y238" s="15">
        <f t="shared" si="42"/>
        <v>25.5</v>
      </c>
    </row>
    <row r="239" spans="1:25" x14ac:dyDescent="0.2">
      <c r="A239" t="s">
        <v>3</v>
      </c>
      <c r="B239" s="1">
        <v>42703</v>
      </c>
      <c r="C239" s="2" t="str">
        <f t="shared" si="43"/>
        <v>Tue</v>
      </c>
      <c r="D239" t="s">
        <v>5</v>
      </c>
      <c r="E239" t="s">
        <v>26</v>
      </c>
      <c r="F239" t="str">
        <f t="shared" si="44"/>
        <v>E</v>
      </c>
      <c r="G239">
        <f t="shared" si="45"/>
        <v>1</v>
      </c>
      <c r="H239" t="s">
        <v>32</v>
      </c>
      <c r="I239">
        <f t="shared" si="46"/>
        <v>0</v>
      </c>
      <c r="J239">
        <f t="shared" si="53"/>
        <v>32702</v>
      </c>
      <c r="K239" s="15">
        <f t="shared" si="47"/>
        <v>792</v>
      </c>
      <c r="L239" s="15">
        <f t="shared" si="48"/>
        <v>288</v>
      </c>
      <c r="M239">
        <v>4</v>
      </c>
      <c r="N239">
        <v>16</v>
      </c>
      <c r="O239">
        <v>13</v>
      </c>
      <c r="P239">
        <v>3</v>
      </c>
      <c r="Q239" s="9">
        <v>59.715000000000003</v>
      </c>
      <c r="R239">
        <v>1</v>
      </c>
      <c r="S239" t="s">
        <v>73</v>
      </c>
      <c r="T239" s="11">
        <f t="shared" si="49"/>
        <v>20</v>
      </c>
      <c r="U239" s="11">
        <f t="shared" si="50"/>
        <v>20</v>
      </c>
      <c r="V239" t="str">
        <f t="shared" si="51"/>
        <v>S2 4SU</v>
      </c>
      <c r="W239" t="str">
        <f t="shared" si="52"/>
        <v>WS1 4SA</v>
      </c>
      <c r="X239" s="12">
        <v>18343</v>
      </c>
      <c r="Y239" s="15">
        <f t="shared" si="42"/>
        <v>29</v>
      </c>
    </row>
    <row r="240" spans="1:25" x14ac:dyDescent="0.2">
      <c r="A240" t="s">
        <v>3</v>
      </c>
      <c r="B240" s="1">
        <v>42714</v>
      </c>
      <c r="C240" s="2" t="str">
        <f t="shared" si="43"/>
        <v>Sat</v>
      </c>
      <c r="D240" t="s">
        <v>6</v>
      </c>
      <c r="E240" t="s">
        <v>9</v>
      </c>
      <c r="F240" t="str">
        <f t="shared" si="44"/>
        <v>D</v>
      </c>
      <c r="G240">
        <f t="shared" si="45"/>
        <v>0</v>
      </c>
      <c r="H240" t="s">
        <v>32</v>
      </c>
      <c r="I240">
        <f t="shared" si="46"/>
        <v>0</v>
      </c>
      <c r="J240">
        <f t="shared" si="53"/>
        <v>25136</v>
      </c>
      <c r="K240" s="15">
        <f t="shared" si="47"/>
        <v>680</v>
      </c>
      <c r="L240" s="15">
        <f t="shared" si="48"/>
        <v>149</v>
      </c>
      <c r="M240">
        <v>4</v>
      </c>
      <c r="N240">
        <v>11</v>
      </c>
      <c r="O240">
        <v>7</v>
      </c>
      <c r="P240">
        <v>8</v>
      </c>
      <c r="Q240" s="9">
        <v>177.12700000000001</v>
      </c>
      <c r="R240">
        <v>8</v>
      </c>
      <c r="S240" t="s">
        <v>68</v>
      </c>
      <c r="T240" s="11">
        <f t="shared" si="49"/>
        <v>25</v>
      </c>
      <c r="U240" s="11">
        <f t="shared" si="50"/>
        <v>20</v>
      </c>
      <c r="V240" t="str">
        <f t="shared" si="51"/>
        <v>BD8 7DY</v>
      </c>
      <c r="W240" t="str">
        <f t="shared" si="52"/>
        <v>SE7 8BL</v>
      </c>
      <c r="X240" s="12">
        <v>17968</v>
      </c>
      <c r="Y240" s="15">
        <f t="shared" si="42"/>
        <v>25</v>
      </c>
    </row>
    <row r="241" spans="1:25" x14ac:dyDescent="0.2">
      <c r="A241" t="s">
        <v>3</v>
      </c>
      <c r="B241" s="1">
        <v>42714</v>
      </c>
      <c r="C241" s="2" t="str">
        <f t="shared" si="43"/>
        <v>Sat</v>
      </c>
      <c r="D241" t="s">
        <v>19</v>
      </c>
      <c r="E241" t="s">
        <v>8</v>
      </c>
      <c r="F241" t="str">
        <f t="shared" si="44"/>
        <v>D</v>
      </c>
      <c r="G241">
        <f t="shared" si="45"/>
        <v>0</v>
      </c>
      <c r="H241" t="s">
        <v>32</v>
      </c>
      <c r="I241">
        <f t="shared" si="46"/>
        <v>0</v>
      </c>
      <c r="J241">
        <f t="shared" si="53"/>
        <v>12000</v>
      </c>
      <c r="K241" s="15">
        <f t="shared" si="47"/>
        <v>608</v>
      </c>
      <c r="L241" s="15">
        <f t="shared" si="48"/>
        <v>260</v>
      </c>
      <c r="M241">
        <v>13</v>
      </c>
      <c r="N241">
        <v>20</v>
      </c>
      <c r="O241">
        <v>4</v>
      </c>
      <c r="P241">
        <v>0</v>
      </c>
      <c r="Q241" s="9">
        <v>145.428</v>
      </c>
      <c r="R241">
        <v>11</v>
      </c>
      <c r="S241" t="s">
        <v>68</v>
      </c>
      <c r="T241" s="11">
        <f t="shared" si="49"/>
        <v>18</v>
      </c>
      <c r="U241" s="11">
        <f t="shared" si="50"/>
        <v>16</v>
      </c>
      <c r="V241" t="str">
        <f t="shared" si="51"/>
        <v>BS7 0BF</v>
      </c>
      <c r="W241" t="str">
        <f t="shared" si="52"/>
        <v>BL9 9HR</v>
      </c>
      <c r="X241" s="12">
        <v>7843</v>
      </c>
      <c r="Y241" s="15">
        <f t="shared" si="42"/>
        <v>26</v>
      </c>
    </row>
    <row r="242" spans="1:25" x14ac:dyDescent="0.2">
      <c r="A242" t="s">
        <v>3</v>
      </c>
      <c r="B242" s="1">
        <v>42714</v>
      </c>
      <c r="C242" s="2" t="str">
        <f t="shared" si="43"/>
        <v>Sat</v>
      </c>
      <c r="D242" t="s">
        <v>13</v>
      </c>
      <c r="E242" t="s">
        <v>26</v>
      </c>
      <c r="F242" t="str">
        <f t="shared" si="44"/>
        <v>D</v>
      </c>
      <c r="G242">
        <f t="shared" si="45"/>
        <v>0</v>
      </c>
      <c r="H242" t="s">
        <v>32</v>
      </c>
      <c r="I242">
        <f t="shared" si="46"/>
        <v>0</v>
      </c>
      <c r="J242">
        <f t="shared" si="53"/>
        <v>5327</v>
      </c>
      <c r="K242" s="15">
        <f t="shared" si="47"/>
        <v>792</v>
      </c>
      <c r="L242" s="15">
        <f t="shared" si="48"/>
        <v>210</v>
      </c>
      <c r="M242">
        <v>8</v>
      </c>
      <c r="N242">
        <v>16</v>
      </c>
      <c r="O242">
        <v>10</v>
      </c>
      <c r="P242">
        <v>4</v>
      </c>
      <c r="Q242" s="9">
        <v>102.762</v>
      </c>
      <c r="R242">
        <v>9</v>
      </c>
      <c r="S242" t="s">
        <v>68</v>
      </c>
      <c r="T242" s="11">
        <f t="shared" si="49"/>
        <v>21.5</v>
      </c>
      <c r="U242" s="11">
        <f t="shared" si="50"/>
        <v>21.5</v>
      </c>
      <c r="V242" t="str">
        <f t="shared" si="51"/>
        <v>FY7 6TX</v>
      </c>
      <c r="W242" t="str">
        <f t="shared" si="52"/>
        <v>WS1 4SA</v>
      </c>
      <c r="X242" s="12">
        <v>2708</v>
      </c>
      <c r="Y242" s="15">
        <f t="shared" si="42"/>
        <v>23.5</v>
      </c>
    </row>
    <row r="243" spans="1:25" x14ac:dyDescent="0.2">
      <c r="A243" t="s">
        <v>3</v>
      </c>
      <c r="B243" s="1">
        <v>42714</v>
      </c>
      <c r="C243" s="2" t="str">
        <f t="shared" si="43"/>
        <v>Sat</v>
      </c>
      <c r="D243" t="s">
        <v>10</v>
      </c>
      <c r="E243" t="s">
        <v>20</v>
      </c>
      <c r="F243" t="str">
        <f t="shared" si="44"/>
        <v>D</v>
      </c>
      <c r="G243">
        <f t="shared" si="45"/>
        <v>0</v>
      </c>
      <c r="H243" t="s">
        <v>32</v>
      </c>
      <c r="I243">
        <f t="shared" si="46"/>
        <v>0</v>
      </c>
      <c r="J243">
        <f t="shared" si="53"/>
        <v>20146</v>
      </c>
      <c r="K243" s="15">
        <f t="shared" si="47"/>
        <v>438</v>
      </c>
      <c r="L243" s="15">
        <f t="shared" si="48"/>
        <v>333</v>
      </c>
      <c r="M243">
        <v>5</v>
      </c>
      <c r="N243">
        <v>24</v>
      </c>
      <c r="O243">
        <v>7</v>
      </c>
      <c r="P243">
        <v>7</v>
      </c>
      <c r="Q243" s="9">
        <v>141.59700000000001</v>
      </c>
      <c r="R243">
        <v>11</v>
      </c>
      <c r="S243" t="s">
        <v>68</v>
      </c>
      <c r="T243" s="11">
        <f t="shared" si="49"/>
        <v>22</v>
      </c>
      <c r="U243" s="11">
        <f t="shared" si="50"/>
        <v>23</v>
      </c>
      <c r="V243" t="str">
        <f t="shared" si="51"/>
        <v>SE16 3LN</v>
      </c>
      <c r="W243" t="str">
        <f t="shared" si="52"/>
        <v>SY2 6ST</v>
      </c>
      <c r="X243" s="12">
        <v>8354</v>
      </c>
      <c r="Y243" s="15">
        <f t="shared" si="42"/>
        <v>30</v>
      </c>
    </row>
    <row r="244" spans="1:25" x14ac:dyDescent="0.2">
      <c r="A244" t="s">
        <v>3</v>
      </c>
      <c r="B244" s="1">
        <v>42714</v>
      </c>
      <c r="C244" s="2" t="str">
        <f t="shared" si="43"/>
        <v>Sat</v>
      </c>
      <c r="D244" t="s">
        <v>21</v>
      </c>
      <c r="E244" t="s">
        <v>27</v>
      </c>
      <c r="F244" t="str">
        <f t="shared" si="44"/>
        <v>D</v>
      </c>
      <c r="G244">
        <f t="shared" si="45"/>
        <v>0</v>
      </c>
      <c r="H244" t="s">
        <v>32</v>
      </c>
      <c r="I244">
        <f t="shared" si="46"/>
        <v>0</v>
      </c>
      <c r="J244">
        <f t="shared" si="53"/>
        <v>30500</v>
      </c>
      <c r="K244" s="15">
        <f t="shared" si="47"/>
        <v>622</v>
      </c>
      <c r="L244" s="15">
        <f t="shared" si="48"/>
        <v>312</v>
      </c>
      <c r="M244">
        <v>19</v>
      </c>
      <c r="N244">
        <v>7</v>
      </c>
      <c r="O244">
        <v>8</v>
      </c>
      <c r="P244">
        <v>6</v>
      </c>
      <c r="Q244" s="9">
        <v>46.148000000000003</v>
      </c>
      <c r="R244">
        <v>11</v>
      </c>
      <c r="T244" s="11">
        <f t="shared" si="49"/>
        <v>22</v>
      </c>
      <c r="U244" s="11">
        <f t="shared" si="50"/>
        <v>22</v>
      </c>
      <c r="V244" t="str">
        <f t="shared" si="51"/>
        <v>MK1 1ST</v>
      </c>
      <c r="W244" t="str">
        <f t="shared" si="52"/>
        <v>KT1 3PB</v>
      </c>
      <c r="X244" s="12">
        <v>11185</v>
      </c>
      <c r="Y244" s="15">
        <f t="shared" si="42"/>
        <v>27</v>
      </c>
    </row>
    <row r="245" spans="1:25" x14ac:dyDescent="0.2">
      <c r="A245" t="s">
        <v>3</v>
      </c>
      <c r="B245" s="1">
        <v>42714</v>
      </c>
      <c r="C245" s="2" t="str">
        <f t="shared" si="43"/>
        <v>Sat</v>
      </c>
      <c r="D245" t="s">
        <v>14</v>
      </c>
      <c r="E245" t="s">
        <v>11</v>
      </c>
      <c r="F245" t="str">
        <f t="shared" si="44"/>
        <v>D</v>
      </c>
      <c r="G245">
        <f t="shared" si="45"/>
        <v>0</v>
      </c>
      <c r="H245" t="s">
        <v>32</v>
      </c>
      <c r="I245">
        <f t="shared" si="46"/>
        <v>0</v>
      </c>
      <c r="J245">
        <f t="shared" si="53"/>
        <v>12500</v>
      </c>
      <c r="K245" s="15">
        <f t="shared" si="47"/>
        <v>729</v>
      </c>
      <c r="L245" s="15">
        <f t="shared" si="48"/>
        <v>290</v>
      </c>
      <c r="M245">
        <v>14</v>
      </c>
      <c r="N245">
        <v>20</v>
      </c>
      <c r="O245">
        <v>8</v>
      </c>
      <c r="P245">
        <v>3</v>
      </c>
      <c r="Q245" s="9">
        <v>132.78299999999999</v>
      </c>
      <c r="R245">
        <v>9</v>
      </c>
      <c r="S245" t="s">
        <v>74</v>
      </c>
      <c r="T245" s="11">
        <f t="shared" si="49"/>
        <v>20</v>
      </c>
      <c r="U245" s="11">
        <f t="shared" si="50"/>
        <v>21</v>
      </c>
      <c r="V245" t="str">
        <f t="shared" si="51"/>
        <v>OX4 4XP</v>
      </c>
      <c r="W245" t="str">
        <f t="shared" si="52"/>
        <v>OL1 2PA</v>
      </c>
      <c r="X245" s="12">
        <v>7430</v>
      </c>
      <c r="Y245" s="15">
        <f t="shared" si="42"/>
        <v>24</v>
      </c>
    </row>
    <row r="246" spans="1:25" x14ac:dyDescent="0.2">
      <c r="A246" t="s">
        <v>3</v>
      </c>
      <c r="B246" s="1">
        <v>42714</v>
      </c>
      <c r="C246" s="2" t="str">
        <f t="shared" si="43"/>
        <v>Sat</v>
      </c>
      <c r="D246" t="s">
        <v>17</v>
      </c>
      <c r="E246" t="s">
        <v>15</v>
      </c>
      <c r="F246" t="str">
        <f t="shared" si="44"/>
        <v>D</v>
      </c>
      <c r="G246">
        <f t="shared" si="45"/>
        <v>0</v>
      </c>
      <c r="H246" t="s">
        <v>32</v>
      </c>
      <c r="I246">
        <f t="shared" si="46"/>
        <v>0</v>
      </c>
      <c r="J246">
        <f t="shared" si="53"/>
        <v>15314</v>
      </c>
      <c r="K246" s="15">
        <f t="shared" si="47"/>
        <v>583</v>
      </c>
      <c r="L246" s="15">
        <f t="shared" si="48"/>
        <v>295</v>
      </c>
      <c r="M246">
        <v>9</v>
      </c>
      <c r="N246">
        <v>23</v>
      </c>
      <c r="O246">
        <v>12</v>
      </c>
      <c r="P246">
        <v>6</v>
      </c>
      <c r="Q246" s="9">
        <v>68.623999999999995</v>
      </c>
      <c r="R246">
        <v>8</v>
      </c>
      <c r="T246" s="11">
        <f t="shared" si="49"/>
        <v>21</v>
      </c>
      <c r="U246" s="11">
        <f t="shared" si="50"/>
        <v>20</v>
      </c>
      <c r="V246" t="str">
        <f t="shared" si="51"/>
        <v>PE2 8AL</v>
      </c>
      <c r="W246" t="str">
        <f t="shared" si="52"/>
        <v>S41 8NZ</v>
      </c>
      <c r="X246" s="12">
        <v>5120</v>
      </c>
      <c r="Y246" s="15">
        <f t="shared" si="42"/>
        <v>26</v>
      </c>
    </row>
    <row r="247" spans="1:25" x14ac:dyDescent="0.2">
      <c r="A247" t="s">
        <v>3</v>
      </c>
      <c r="B247" s="1">
        <v>42714</v>
      </c>
      <c r="C247" s="2" t="str">
        <f t="shared" si="43"/>
        <v>Sat</v>
      </c>
      <c r="D247" t="s">
        <v>7</v>
      </c>
      <c r="E247" t="s">
        <v>12</v>
      </c>
      <c r="F247" t="str">
        <f t="shared" si="44"/>
        <v>D</v>
      </c>
      <c r="G247">
        <f t="shared" si="45"/>
        <v>0</v>
      </c>
      <c r="H247" t="s">
        <v>32</v>
      </c>
      <c r="I247">
        <f t="shared" si="46"/>
        <v>0</v>
      </c>
      <c r="J247">
        <f t="shared" si="53"/>
        <v>18947</v>
      </c>
      <c r="K247" s="15">
        <f t="shared" si="47"/>
        <v>843</v>
      </c>
      <c r="L247" s="15">
        <f t="shared" si="48"/>
        <v>345</v>
      </c>
      <c r="M247">
        <v>12</v>
      </c>
      <c r="N247">
        <v>17</v>
      </c>
      <c r="O247">
        <v>5</v>
      </c>
      <c r="P247">
        <v>3</v>
      </c>
      <c r="Q247" s="9">
        <v>77.27</v>
      </c>
      <c r="R247">
        <v>10</v>
      </c>
      <c r="T247" s="11">
        <f t="shared" si="49"/>
        <v>22</v>
      </c>
      <c r="U247" s="11">
        <f t="shared" si="50"/>
        <v>22</v>
      </c>
      <c r="V247" t="str">
        <f t="shared" si="51"/>
        <v>ST6 1AW</v>
      </c>
      <c r="W247" t="str">
        <f t="shared" si="52"/>
        <v>NN5 5QA</v>
      </c>
      <c r="X247" s="12">
        <v>4739</v>
      </c>
      <c r="Y247" s="15">
        <f t="shared" si="42"/>
        <v>23</v>
      </c>
    </row>
    <row r="248" spans="1:25" x14ac:dyDescent="0.2">
      <c r="A248" t="s">
        <v>3</v>
      </c>
      <c r="B248" s="1">
        <v>42714</v>
      </c>
      <c r="C248" s="2" t="str">
        <f t="shared" si="43"/>
        <v>Sat</v>
      </c>
      <c r="D248" t="s">
        <v>16</v>
      </c>
      <c r="E248" t="s">
        <v>18</v>
      </c>
      <c r="F248" t="str">
        <f t="shared" si="44"/>
        <v>D</v>
      </c>
      <c r="G248">
        <f t="shared" si="45"/>
        <v>0</v>
      </c>
      <c r="H248" t="s">
        <v>32</v>
      </c>
      <c r="I248">
        <f t="shared" si="46"/>
        <v>0</v>
      </c>
      <c r="J248">
        <f t="shared" si="53"/>
        <v>10249</v>
      </c>
      <c r="K248" s="15">
        <f t="shared" si="47"/>
        <v>508</v>
      </c>
      <c r="L248" s="15">
        <f t="shared" si="48"/>
        <v>290</v>
      </c>
      <c r="M248">
        <v>6</v>
      </c>
      <c r="N248">
        <v>1</v>
      </c>
      <c r="O248">
        <v>9</v>
      </c>
      <c r="P248">
        <v>10</v>
      </c>
      <c r="Q248" s="9">
        <v>60.951999999999998</v>
      </c>
      <c r="R248">
        <v>9</v>
      </c>
      <c r="S248" t="s">
        <v>68</v>
      </c>
      <c r="T248" s="11">
        <f t="shared" si="49"/>
        <v>17</v>
      </c>
      <c r="U248" s="11">
        <f t="shared" si="50"/>
        <v>22</v>
      </c>
      <c r="V248" t="str">
        <f t="shared" si="51"/>
        <v>OL11 5DR</v>
      </c>
      <c r="W248" t="str">
        <f t="shared" si="52"/>
        <v>DN15 8TD</v>
      </c>
      <c r="X248" s="12">
        <v>3445</v>
      </c>
      <c r="Y248" s="15">
        <f t="shared" si="42"/>
        <v>22</v>
      </c>
    </row>
    <row r="249" spans="1:25" x14ac:dyDescent="0.2">
      <c r="A249" t="s">
        <v>3</v>
      </c>
      <c r="B249" s="1">
        <v>42714</v>
      </c>
      <c r="C249" s="2" t="str">
        <f t="shared" si="43"/>
        <v>Sat</v>
      </c>
      <c r="D249" t="s">
        <v>5</v>
      </c>
      <c r="E249" t="s">
        <v>24</v>
      </c>
      <c r="F249" t="str">
        <f t="shared" si="44"/>
        <v>D</v>
      </c>
      <c r="G249">
        <f t="shared" si="45"/>
        <v>0</v>
      </c>
      <c r="H249" t="s">
        <v>32</v>
      </c>
      <c r="I249">
        <f t="shared" si="46"/>
        <v>0</v>
      </c>
      <c r="J249">
        <f t="shared" si="53"/>
        <v>32702</v>
      </c>
      <c r="K249" s="15">
        <f t="shared" si="47"/>
        <v>503</v>
      </c>
      <c r="L249" s="15">
        <f t="shared" si="48"/>
        <v>288</v>
      </c>
      <c r="M249">
        <v>3</v>
      </c>
      <c r="N249">
        <v>18</v>
      </c>
      <c r="O249">
        <v>10</v>
      </c>
      <c r="P249">
        <v>7</v>
      </c>
      <c r="Q249" s="9">
        <v>125.494</v>
      </c>
      <c r="R249">
        <v>10</v>
      </c>
      <c r="S249" t="s">
        <v>68</v>
      </c>
      <c r="T249" s="11">
        <f t="shared" si="49"/>
        <v>20</v>
      </c>
      <c r="U249" s="11">
        <f t="shared" si="50"/>
        <v>20</v>
      </c>
      <c r="V249" t="str">
        <f t="shared" si="51"/>
        <v>S2 4SU</v>
      </c>
      <c r="W249" t="str">
        <f t="shared" si="52"/>
        <v>SN1 2ED</v>
      </c>
      <c r="X249" s="12">
        <v>19196</v>
      </c>
      <c r="Y249" s="15">
        <f t="shared" si="42"/>
        <v>29</v>
      </c>
    </row>
    <row r="250" spans="1:25" x14ac:dyDescent="0.2">
      <c r="A250" t="s">
        <v>3</v>
      </c>
      <c r="B250" s="1">
        <v>42714</v>
      </c>
      <c r="C250" s="2" t="str">
        <f t="shared" si="43"/>
        <v>Sat</v>
      </c>
      <c r="D250" t="s">
        <v>22</v>
      </c>
      <c r="E250" t="s">
        <v>25</v>
      </c>
      <c r="F250" t="str">
        <f t="shared" si="44"/>
        <v>D</v>
      </c>
      <c r="G250">
        <f t="shared" si="45"/>
        <v>0</v>
      </c>
      <c r="H250" t="s">
        <v>32</v>
      </c>
      <c r="I250">
        <f t="shared" si="46"/>
        <v>0</v>
      </c>
      <c r="J250">
        <f t="shared" si="53"/>
        <v>12392</v>
      </c>
      <c r="K250" s="15">
        <f t="shared" si="47"/>
        <v>1280</v>
      </c>
      <c r="L250" s="15">
        <f t="shared" si="48"/>
        <v>395</v>
      </c>
      <c r="M250">
        <v>10</v>
      </c>
      <c r="N250">
        <v>22</v>
      </c>
      <c r="O250">
        <v>11</v>
      </c>
      <c r="P250">
        <v>0</v>
      </c>
      <c r="Q250" s="9">
        <v>112.42400000000001</v>
      </c>
      <c r="R250">
        <v>9</v>
      </c>
      <c r="T250" s="11">
        <f t="shared" si="49"/>
        <v>25</v>
      </c>
      <c r="U250" s="11">
        <f t="shared" si="50"/>
        <v>22</v>
      </c>
      <c r="V250" t="str">
        <f t="shared" si="51"/>
        <v>SS2 6NQ</v>
      </c>
      <c r="W250" t="str">
        <f t="shared" si="52"/>
        <v>CV6 6GE</v>
      </c>
      <c r="X250" s="12">
        <v>6430</v>
      </c>
      <c r="Y250" s="15">
        <f t="shared" si="42"/>
        <v>25</v>
      </c>
    </row>
    <row r="251" spans="1:25" x14ac:dyDescent="0.2">
      <c r="A251" t="s">
        <v>3</v>
      </c>
      <c r="B251" s="1">
        <v>42716</v>
      </c>
      <c r="C251" s="2" t="str">
        <f t="shared" si="43"/>
        <v>Mon</v>
      </c>
      <c r="D251" t="s">
        <v>4</v>
      </c>
      <c r="E251" t="s">
        <v>23</v>
      </c>
      <c r="F251" t="str">
        <f t="shared" si="44"/>
        <v>E</v>
      </c>
      <c r="G251">
        <f t="shared" si="45"/>
        <v>1</v>
      </c>
      <c r="H251" t="s">
        <v>32</v>
      </c>
      <c r="I251">
        <f t="shared" si="46"/>
        <v>0</v>
      </c>
      <c r="J251">
        <f t="shared" si="53"/>
        <v>28723</v>
      </c>
      <c r="K251" s="15">
        <f t="shared" si="47"/>
        <v>533</v>
      </c>
      <c r="L251" s="15">
        <f t="shared" si="48"/>
        <v>280</v>
      </c>
      <c r="M251">
        <v>2</v>
      </c>
      <c r="N251">
        <v>15</v>
      </c>
      <c r="O251">
        <v>12</v>
      </c>
      <c r="P251">
        <v>9</v>
      </c>
      <c r="Q251" s="9">
        <v>200.13200000000001</v>
      </c>
      <c r="R251">
        <v>6</v>
      </c>
      <c r="S251" t="s">
        <v>69</v>
      </c>
      <c r="T251" s="11">
        <f t="shared" si="49"/>
        <v>15</v>
      </c>
      <c r="U251" s="11">
        <f t="shared" si="50"/>
        <v>15</v>
      </c>
      <c r="V251" t="str">
        <f t="shared" si="51"/>
        <v>BL6 6JW</v>
      </c>
      <c r="W251" t="str">
        <f t="shared" si="52"/>
        <v>ME7 4DD</v>
      </c>
      <c r="X251" s="12">
        <v>13861</v>
      </c>
      <c r="Y251" s="15">
        <f t="shared" si="42"/>
        <v>30</v>
      </c>
    </row>
    <row r="252" spans="1:25" x14ac:dyDescent="0.2">
      <c r="A252" t="s">
        <v>3</v>
      </c>
      <c r="B252" s="1">
        <v>42719</v>
      </c>
      <c r="C252" s="2" t="str">
        <f t="shared" si="43"/>
        <v>Thu</v>
      </c>
      <c r="D252" t="s">
        <v>25</v>
      </c>
      <c r="E252" t="s">
        <v>5</v>
      </c>
      <c r="F252" t="str">
        <f t="shared" si="44"/>
        <v>E</v>
      </c>
      <c r="G252">
        <f t="shared" si="45"/>
        <v>1</v>
      </c>
      <c r="H252" t="s">
        <v>32</v>
      </c>
      <c r="I252">
        <f t="shared" si="46"/>
        <v>0</v>
      </c>
      <c r="J252">
        <f t="shared" si="53"/>
        <v>32609</v>
      </c>
      <c r="K252" s="15">
        <f t="shared" si="47"/>
        <v>1622</v>
      </c>
      <c r="L252" s="15">
        <f t="shared" si="48"/>
        <v>299</v>
      </c>
      <c r="M252">
        <v>21</v>
      </c>
      <c r="N252">
        <v>3</v>
      </c>
      <c r="O252">
        <v>0</v>
      </c>
      <c r="P252">
        <v>10</v>
      </c>
      <c r="Q252" s="9">
        <v>63.756999999999998</v>
      </c>
      <c r="R252">
        <v>9</v>
      </c>
      <c r="T252" s="11">
        <f t="shared" si="49"/>
        <v>22</v>
      </c>
      <c r="U252" s="11">
        <f t="shared" si="50"/>
        <v>22</v>
      </c>
      <c r="V252" t="str">
        <f t="shared" si="51"/>
        <v>CV6 6GE</v>
      </c>
      <c r="W252" t="str">
        <f t="shared" si="52"/>
        <v>S2 4SU</v>
      </c>
      <c r="X252" s="12">
        <v>8801</v>
      </c>
      <c r="Y252" s="15">
        <f t="shared" si="42"/>
        <v>26</v>
      </c>
    </row>
    <row r="253" spans="1:25" x14ac:dyDescent="0.2">
      <c r="A253" t="s">
        <v>3</v>
      </c>
      <c r="B253" s="1">
        <v>42721</v>
      </c>
      <c r="C253" s="2" t="str">
        <f t="shared" si="43"/>
        <v>Sat</v>
      </c>
      <c r="D253" t="s">
        <v>27</v>
      </c>
      <c r="E253" t="s">
        <v>7</v>
      </c>
      <c r="F253" t="str">
        <f t="shared" si="44"/>
        <v>D</v>
      </c>
      <c r="G253">
        <f t="shared" si="45"/>
        <v>0</v>
      </c>
      <c r="H253" t="s">
        <v>32</v>
      </c>
      <c r="I253">
        <f t="shared" si="46"/>
        <v>0</v>
      </c>
      <c r="J253">
        <f t="shared" si="53"/>
        <v>4850</v>
      </c>
      <c r="K253" s="15">
        <f t="shared" si="47"/>
        <v>697</v>
      </c>
      <c r="L253" s="15">
        <f t="shared" si="48"/>
        <v>260</v>
      </c>
      <c r="M253">
        <v>11</v>
      </c>
      <c r="N253">
        <v>15</v>
      </c>
      <c r="O253">
        <v>8</v>
      </c>
      <c r="P253">
        <v>2</v>
      </c>
      <c r="Q253" s="9">
        <v>139.58600000000001</v>
      </c>
      <c r="R253">
        <v>6</v>
      </c>
      <c r="T253" s="11">
        <f t="shared" si="49"/>
        <v>17</v>
      </c>
      <c r="U253" s="11">
        <f t="shared" si="50"/>
        <v>17</v>
      </c>
      <c r="V253" t="str">
        <f t="shared" si="51"/>
        <v>KT1 3PB</v>
      </c>
      <c r="W253" t="str">
        <f t="shared" si="52"/>
        <v>ST6 1AW</v>
      </c>
      <c r="X253" s="12">
        <v>4291</v>
      </c>
      <c r="Y253" s="15">
        <f t="shared" si="42"/>
        <v>29</v>
      </c>
    </row>
    <row r="254" spans="1:25" x14ac:dyDescent="0.2">
      <c r="A254" t="s">
        <v>3</v>
      </c>
      <c r="B254" s="1">
        <v>42721</v>
      </c>
      <c r="C254" s="2" t="str">
        <f t="shared" si="43"/>
        <v>Sat</v>
      </c>
      <c r="D254" t="s">
        <v>8</v>
      </c>
      <c r="E254" t="s">
        <v>14</v>
      </c>
      <c r="F254" t="str">
        <f t="shared" si="44"/>
        <v>D</v>
      </c>
      <c r="G254">
        <f t="shared" si="45"/>
        <v>0</v>
      </c>
      <c r="H254" t="s">
        <v>32</v>
      </c>
      <c r="I254">
        <f t="shared" si="46"/>
        <v>0</v>
      </c>
      <c r="J254">
        <f t="shared" si="53"/>
        <v>11841</v>
      </c>
      <c r="K254" s="15">
        <f t="shared" si="47"/>
        <v>1000</v>
      </c>
      <c r="L254" s="15">
        <f t="shared" si="48"/>
        <v>275</v>
      </c>
      <c r="M254">
        <v>21</v>
      </c>
      <c r="N254">
        <v>14</v>
      </c>
      <c r="O254">
        <v>0</v>
      </c>
      <c r="P254">
        <v>11</v>
      </c>
      <c r="Q254" s="9">
        <v>136.71199999999999</v>
      </c>
      <c r="R254">
        <v>4</v>
      </c>
      <c r="S254" t="s">
        <v>72</v>
      </c>
      <c r="T254" s="11">
        <f t="shared" si="49"/>
        <v>18</v>
      </c>
      <c r="U254" s="11">
        <f t="shared" si="50"/>
        <v>18</v>
      </c>
      <c r="V254" t="str">
        <f t="shared" si="51"/>
        <v>BL9 9HR</v>
      </c>
      <c r="W254" t="str">
        <f t="shared" si="52"/>
        <v>OX4 4XP</v>
      </c>
      <c r="X254" s="12">
        <v>2986</v>
      </c>
      <c r="Y254" s="15">
        <f t="shared" si="42"/>
        <v>22</v>
      </c>
    </row>
    <row r="255" spans="1:25" x14ac:dyDescent="0.2">
      <c r="A255" t="s">
        <v>3</v>
      </c>
      <c r="B255" s="1">
        <v>42721</v>
      </c>
      <c r="C255" s="2" t="str">
        <f t="shared" si="43"/>
        <v>Sat</v>
      </c>
      <c r="D255" t="s">
        <v>9</v>
      </c>
      <c r="E255" t="s">
        <v>17</v>
      </c>
      <c r="F255" t="str">
        <f t="shared" si="44"/>
        <v>D</v>
      </c>
      <c r="G255">
        <f t="shared" si="45"/>
        <v>0</v>
      </c>
      <c r="H255" t="s">
        <v>32</v>
      </c>
      <c r="I255">
        <f t="shared" si="46"/>
        <v>0</v>
      </c>
      <c r="J255">
        <f t="shared" si="53"/>
        <v>26875</v>
      </c>
      <c r="K255" s="15">
        <f t="shared" si="47"/>
        <v>598</v>
      </c>
      <c r="L255" s="15">
        <f t="shared" si="48"/>
        <v>175</v>
      </c>
      <c r="M255">
        <v>12</v>
      </c>
      <c r="N255">
        <v>6</v>
      </c>
      <c r="O255">
        <v>8</v>
      </c>
      <c r="P255">
        <v>12</v>
      </c>
      <c r="Q255" s="9">
        <v>75.564999999999998</v>
      </c>
      <c r="R255">
        <v>7</v>
      </c>
      <c r="T255" s="11">
        <f t="shared" si="49"/>
        <v>20</v>
      </c>
      <c r="U255" s="11">
        <f t="shared" si="50"/>
        <v>20</v>
      </c>
      <c r="V255" t="str">
        <f t="shared" si="51"/>
        <v>SE7 8BL</v>
      </c>
      <c r="W255" t="str">
        <f t="shared" si="52"/>
        <v>PE2 8AL</v>
      </c>
      <c r="X255" s="12">
        <v>10193</v>
      </c>
      <c r="Y255" s="15">
        <f t="shared" si="42"/>
        <v>35</v>
      </c>
    </row>
    <row r="256" spans="1:25" x14ac:dyDescent="0.2">
      <c r="A256" t="s">
        <v>3</v>
      </c>
      <c r="B256" s="1">
        <v>42721</v>
      </c>
      <c r="C256" s="2" t="str">
        <f t="shared" si="43"/>
        <v>Sat</v>
      </c>
      <c r="D256" t="s">
        <v>15</v>
      </c>
      <c r="E256" t="s">
        <v>4</v>
      </c>
      <c r="F256" t="str">
        <f t="shared" si="44"/>
        <v>D</v>
      </c>
      <c r="G256">
        <f t="shared" si="45"/>
        <v>0</v>
      </c>
      <c r="H256" t="s">
        <v>32</v>
      </c>
      <c r="I256">
        <f t="shared" si="46"/>
        <v>0</v>
      </c>
      <c r="J256">
        <f t="shared" si="53"/>
        <v>10504</v>
      </c>
      <c r="K256" s="15">
        <f t="shared" si="47"/>
        <v>912</v>
      </c>
      <c r="L256" s="15">
        <f t="shared" si="48"/>
        <v>345</v>
      </c>
      <c r="M256">
        <v>23</v>
      </c>
      <c r="N256">
        <v>3</v>
      </c>
      <c r="O256">
        <v>9</v>
      </c>
      <c r="P256">
        <v>12</v>
      </c>
      <c r="Q256" s="9">
        <v>51.075000000000003</v>
      </c>
      <c r="R256">
        <v>7</v>
      </c>
      <c r="T256" s="11">
        <f t="shared" si="49"/>
        <v>22</v>
      </c>
      <c r="U256" s="11">
        <f t="shared" si="50"/>
        <v>20</v>
      </c>
      <c r="V256" t="str">
        <f t="shared" si="51"/>
        <v>S41 8NZ</v>
      </c>
      <c r="W256" t="str">
        <f t="shared" si="52"/>
        <v>BL6 6JW</v>
      </c>
      <c r="X256" s="12">
        <v>6924</v>
      </c>
      <c r="Y256" s="15">
        <f t="shared" si="42"/>
        <v>26</v>
      </c>
    </row>
    <row r="257" spans="1:25" x14ac:dyDescent="0.2">
      <c r="A257" t="s">
        <v>3</v>
      </c>
      <c r="B257" s="1">
        <v>42721</v>
      </c>
      <c r="C257" s="2" t="str">
        <f t="shared" si="43"/>
        <v>Sat</v>
      </c>
      <c r="D257" t="s">
        <v>23</v>
      </c>
      <c r="E257" t="s">
        <v>21</v>
      </c>
      <c r="F257" t="str">
        <f t="shared" si="44"/>
        <v>D</v>
      </c>
      <c r="G257">
        <f t="shared" si="45"/>
        <v>0</v>
      </c>
      <c r="H257" t="s">
        <v>32</v>
      </c>
      <c r="I257">
        <f t="shared" si="46"/>
        <v>0</v>
      </c>
      <c r="J257">
        <f t="shared" si="53"/>
        <v>11582</v>
      </c>
      <c r="K257" s="15">
        <f t="shared" si="47"/>
        <v>596</v>
      </c>
      <c r="L257" s="15">
        <f t="shared" si="48"/>
        <v>285</v>
      </c>
      <c r="M257">
        <v>17</v>
      </c>
      <c r="N257">
        <v>18</v>
      </c>
      <c r="O257">
        <v>9</v>
      </c>
      <c r="P257">
        <v>7</v>
      </c>
      <c r="Q257" s="9">
        <v>70.44</v>
      </c>
      <c r="R257">
        <v>10</v>
      </c>
      <c r="T257" s="11">
        <f t="shared" si="49"/>
        <v>12</v>
      </c>
      <c r="U257" s="11">
        <f t="shared" si="50"/>
        <v>10</v>
      </c>
      <c r="V257" t="str">
        <f t="shared" si="51"/>
        <v>ME7 4DD</v>
      </c>
      <c r="W257" t="str">
        <f t="shared" si="52"/>
        <v>MK1 1ST</v>
      </c>
      <c r="X257" s="12">
        <v>5681</v>
      </c>
      <c r="Y257" s="15">
        <f t="shared" si="42"/>
        <v>28</v>
      </c>
    </row>
    <row r="258" spans="1:25" x14ac:dyDescent="0.2">
      <c r="A258" t="s">
        <v>3</v>
      </c>
      <c r="B258" s="1">
        <v>42721</v>
      </c>
      <c r="C258" s="2" t="str">
        <f t="shared" si="43"/>
        <v>Sat</v>
      </c>
      <c r="D258" t="s">
        <v>12</v>
      </c>
      <c r="E258" t="s">
        <v>16</v>
      </c>
      <c r="F258" t="str">
        <f t="shared" si="44"/>
        <v>D</v>
      </c>
      <c r="G258">
        <f t="shared" si="45"/>
        <v>0</v>
      </c>
      <c r="H258" t="s">
        <v>32</v>
      </c>
      <c r="I258">
        <f t="shared" si="46"/>
        <v>0</v>
      </c>
      <c r="J258">
        <f t="shared" si="53"/>
        <v>7653</v>
      </c>
      <c r="K258" s="15">
        <f t="shared" si="47"/>
        <v>497</v>
      </c>
      <c r="L258" s="15">
        <f t="shared" si="48"/>
        <v>249</v>
      </c>
      <c r="M258">
        <v>13</v>
      </c>
      <c r="N258">
        <v>5</v>
      </c>
      <c r="O258">
        <v>3</v>
      </c>
      <c r="P258">
        <v>12</v>
      </c>
      <c r="Q258" s="9">
        <v>108.934</v>
      </c>
      <c r="R258">
        <v>5</v>
      </c>
      <c r="T258" s="11">
        <f t="shared" si="49"/>
        <v>24</v>
      </c>
      <c r="U258" s="11">
        <f t="shared" si="50"/>
        <v>24</v>
      </c>
      <c r="V258" t="str">
        <f t="shared" si="51"/>
        <v>NN5 5QA</v>
      </c>
      <c r="W258" t="str">
        <f t="shared" si="52"/>
        <v>OL11 5DR</v>
      </c>
      <c r="X258" s="12">
        <v>5247</v>
      </c>
      <c r="Y258" s="15">
        <f t="shared" ref="Y258:Y321" si="54">IF(D258="AFC Wimbledon",29,IF(D258="Bolton",30,IF(D258="Bury",22,IF(D258="Bradford",25,IF(D258="Bristol Rvs",26,IF(D258="Charlton",35,IF(D258="Chesterfield",26,IF(D258="Coventry",26,IF(D258="Gillingham",28,IF(D258="Millwall",30,IF(D258="Milton Keynes Dons",27,IF(D258="Northampton",24,IF(D258="Oldham",24,IF(D258="Oxford",24,IF(D258="Peterboro",26,IF(D258="Port Vale",23,IF(D258="Rochdale",22,IF(D258="Scunthorpe",23,IF(D258="Sheffield United",29,IF(D258="Southend",25,IF(D258="Shrewsbury",22,IF(D258="Swindon",25,IF(D258="Walsall",25.5,IF(D258="Fleetwood Town",23.5,"Unknown"))))))))))))))))))))))))</f>
        <v>24</v>
      </c>
    </row>
    <row r="259" spans="1:25" x14ac:dyDescent="0.2">
      <c r="A259" t="s">
        <v>3</v>
      </c>
      <c r="B259" s="1">
        <v>42721</v>
      </c>
      <c r="C259" s="2" t="str">
        <f t="shared" ref="C259:C322" si="55">TEXT(B259,"ddd")</f>
        <v>Sat</v>
      </c>
      <c r="D259" t="s">
        <v>11</v>
      </c>
      <c r="E259" t="s">
        <v>22</v>
      </c>
      <c r="F259" t="str">
        <f t="shared" ref="F259:F322" si="56">IF(C259="Sat","D",IF(C259="Sun","D","E"))</f>
        <v>D</v>
      </c>
      <c r="G259">
        <f t="shared" ref="G259:G322" si="57">IF(F259="D",0,1)</f>
        <v>0</v>
      </c>
      <c r="H259" t="s">
        <v>32</v>
      </c>
      <c r="I259">
        <f t="shared" ref="I259:I322" si="58">IF(H259="N",0,1)</f>
        <v>0</v>
      </c>
      <c r="J259">
        <f t="shared" si="53"/>
        <v>13559</v>
      </c>
      <c r="K259" s="15">
        <f t="shared" ref="K259:K322" si="59">IF(E259="AFC Wimbledon",622,IF(E259="Bolton",912,IF(E259="Bury",608,IF(E259="Bradford",1437,IF(E259="Bristol Rvs",1159,IF(E259="Charlton",680,IF(E259="Chesterfield",583,IF(E259="Coventry",1280,IF(E259="Gillingham",533,IF(E259="Millwall",827,IF(E259="Milton Keynes Dons",596,IF(E259="Northampton",843,IF(E259="Oldham",729,IF(E259="Oxford",1000,IF(E259="Peterboro",598,IF(E259="Port Vale",697,IF(E259="Rochdale",497,IF(E259="Scunthorpe",508,IF(E259="Sheffield United",1622,IF(E259="Southend",635,IF(E259="Shrewsbury",438,IF(E259="Swindon",503,IF(E259="Walsall",792,IF(E259="Fleetwood Town",210,"Unknown"))))))))))))))))))))))))</f>
        <v>635</v>
      </c>
      <c r="L259" s="15">
        <f t="shared" ref="L259:L322" si="60">IF(D259="AFC Wimbledon",260,IF(D259="Bolton",280,IF(D259="Bury",275,IF(D259="Bradford",149,IF(D259="Bristol Rvs",260,IF(D259="Charlton",175,IF(D259="Chesterfield",345,IF(D259="Coventry",299,IF(D259="Gillingham",285,IF(D259="Millwall",333,IF(D259="Milton Keynes Dons",312,IF(D259="Northampton",249,IF(D259="Oldham",300,IF(D259="Oxford",290,IF(D259="Peterboro",295,IF(D259="Port Vale",345,IF(D259="Rochdale",290,IF(D259="Scunthorpe",288,IF(D259="Sheffield United",288,IF(D259="Southend",395,IF(D259="Shrewsbury",285,IF(D259="Swindon",345,IF(D259="Walsall",253,IF(D259="Fleetwood Town",210,"Unknown"))))))))))))))))))))))))</f>
        <v>300</v>
      </c>
      <c r="M259">
        <v>20</v>
      </c>
      <c r="N259">
        <v>9</v>
      </c>
      <c r="O259">
        <v>3</v>
      </c>
      <c r="P259">
        <v>11</v>
      </c>
      <c r="Q259" s="9">
        <v>182.733</v>
      </c>
      <c r="R259">
        <v>6</v>
      </c>
      <c r="T259" s="11">
        <f t="shared" ref="T259:T322" si="61">IF(D259="AFC Wimbledon",17,IF(D259="Bolton",15,IF(D259="Bury",18,IF(D259="Bradford",25,IF(D259="Bristol Rvs",18,IF(D259="Charlton",20,IF(D259="Chesterfield",22,IF(D259="Coventry",22,IF(D259="Gillingham",12,IF(D259="Millwall",22,IF(D259="Milton Keynes Dons",22,IF(D259="Northampton",24,IF(D259="Oldham",22,IF(D259="Oxford",20,IF(D259="Peterboro",21,IF(D259="Port Vale",22,IF(D259="Rochdale",17,IF(D259="Scunthorpe",18,IF(D259="Sheffield United",20,IF(D259="Southend",25,IF(D259="Shrewsbury",20,IF(D259="Swindon",19,IF(D259="Walsall",20,IF(D259="Fleetwood Town",21.5,"Unknown"))))))))))))))))))))))))</f>
        <v>22</v>
      </c>
      <c r="U259" s="11">
        <f t="shared" ref="U259:U322" si="62">IF(D259="AFC Wimbledon",17,IF(D259="Bolton",15,IF(D259="Bury",18,IF(D259="Bradford",20,IF(D259="Bristol Rvs",16,IF(D259="Charlton",20,IF(D259="Chesterfield",20,IF(D259="Coventry",22,IF(D259="Gillingham",10,IF(D259="Millwall",23,IF(D259="Milton Keynes Dons",22,IF(D259="Northampton",24,IF(D259="Oldham",24,IF(D259="Oxford",21,IF(D259="Peterboro",20,IF(D259="Port Vale",22,IF(D259="Rochdale",22,IF(D259="Scunthorpe",22,IF(D259="Sheffield United",20,IF(D259="Southend",22,IF(D259="Shrewsbury",20,IF(D259="Swindon",19,IF(D259="Walsall",20,IF(D259="Fleetwood Town",21.5,"Unknown"))))))))))))))))))))))))</f>
        <v>24</v>
      </c>
      <c r="V259" t="str">
        <f t="shared" si="51"/>
        <v>OL1 2PA</v>
      </c>
      <c r="W259" t="str">
        <f t="shared" si="52"/>
        <v>SS2 6NQ</v>
      </c>
      <c r="X259" s="12">
        <v>3414</v>
      </c>
      <c r="Y259" s="15">
        <f t="shared" si="54"/>
        <v>24</v>
      </c>
    </row>
    <row r="260" spans="1:25" x14ac:dyDescent="0.2">
      <c r="A260" t="s">
        <v>3</v>
      </c>
      <c r="B260" s="1">
        <v>42721</v>
      </c>
      <c r="C260" s="2" t="str">
        <f t="shared" si="55"/>
        <v>Sat</v>
      </c>
      <c r="D260" t="s">
        <v>18</v>
      </c>
      <c r="E260" t="s">
        <v>10</v>
      </c>
      <c r="F260" t="str">
        <f t="shared" si="56"/>
        <v>D</v>
      </c>
      <c r="G260">
        <f t="shared" si="57"/>
        <v>0</v>
      </c>
      <c r="H260" t="s">
        <v>32</v>
      </c>
      <c r="I260">
        <f t="shared" si="58"/>
        <v>0</v>
      </c>
      <c r="J260">
        <f t="shared" si="53"/>
        <v>9183</v>
      </c>
      <c r="K260" s="15">
        <f t="shared" si="59"/>
        <v>827</v>
      </c>
      <c r="L260" s="15">
        <f t="shared" si="60"/>
        <v>288</v>
      </c>
      <c r="M260">
        <v>1</v>
      </c>
      <c r="N260">
        <v>12</v>
      </c>
      <c r="O260">
        <v>10</v>
      </c>
      <c r="P260">
        <v>4</v>
      </c>
      <c r="Q260" s="9">
        <v>147.77099999999999</v>
      </c>
      <c r="R260">
        <v>6</v>
      </c>
      <c r="S260" t="s">
        <v>73</v>
      </c>
      <c r="T260" s="11">
        <f t="shared" si="61"/>
        <v>18</v>
      </c>
      <c r="U260" s="11">
        <f t="shared" si="62"/>
        <v>22</v>
      </c>
      <c r="V260" t="str">
        <f t="shared" si="51"/>
        <v>DN15 8TD</v>
      </c>
      <c r="W260" t="str">
        <f t="shared" si="52"/>
        <v>SE16 3LN</v>
      </c>
      <c r="X260" s="12">
        <v>4355</v>
      </c>
      <c r="Y260" s="15">
        <f t="shared" si="54"/>
        <v>23</v>
      </c>
    </row>
    <row r="261" spans="1:25" x14ac:dyDescent="0.2">
      <c r="A261" t="s">
        <v>3</v>
      </c>
      <c r="B261" s="1">
        <v>42721</v>
      </c>
      <c r="C261" s="2" t="str">
        <f t="shared" si="55"/>
        <v>Sat</v>
      </c>
      <c r="D261" t="s">
        <v>20</v>
      </c>
      <c r="E261" t="s">
        <v>19</v>
      </c>
      <c r="F261" t="str">
        <f t="shared" si="56"/>
        <v>D</v>
      </c>
      <c r="G261">
        <f t="shared" si="57"/>
        <v>0</v>
      </c>
      <c r="H261" t="s">
        <v>32</v>
      </c>
      <c r="I261">
        <f t="shared" si="58"/>
        <v>0</v>
      </c>
      <c r="J261">
        <f t="shared" si="53"/>
        <v>9875</v>
      </c>
      <c r="K261" s="15">
        <f t="shared" si="59"/>
        <v>1159</v>
      </c>
      <c r="L261" s="15">
        <f t="shared" si="60"/>
        <v>285</v>
      </c>
      <c r="M261">
        <v>24</v>
      </c>
      <c r="N261">
        <v>10</v>
      </c>
      <c r="O261">
        <v>7</v>
      </c>
      <c r="P261">
        <v>4</v>
      </c>
      <c r="Q261" s="9">
        <v>83.481999999999999</v>
      </c>
      <c r="R261">
        <v>6</v>
      </c>
      <c r="S261" t="s">
        <v>75</v>
      </c>
      <c r="T261" s="11">
        <f t="shared" si="61"/>
        <v>20</v>
      </c>
      <c r="U261" s="11">
        <f t="shared" si="62"/>
        <v>20</v>
      </c>
      <c r="V261" t="str">
        <f t="shared" si="51"/>
        <v>SY2 6ST</v>
      </c>
      <c r="W261" t="str">
        <f t="shared" si="52"/>
        <v>BS7 0BF</v>
      </c>
      <c r="X261" s="12">
        <v>6139</v>
      </c>
      <c r="Y261" s="15">
        <f t="shared" si="54"/>
        <v>22</v>
      </c>
    </row>
    <row r="262" spans="1:25" x14ac:dyDescent="0.2">
      <c r="A262" t="s">
        <v>3</v>
      </c>
      <c r="B262" s="1">
        <v>42721</v>
      </c>
      <c r="C262" s="2" t="str">
        <f t="shared" si="55"/>
        <v>Sat</v>
      </c>
      <c r="D262" t="s">
        <v>24</v>
      </c>
      <c r="E262" t="s">
        <v>13</v>
      </c>
      <c r="F262" t="str">
        <f t="shared" si="56"/>
        <v>D</v>
      </c>
      <c r="G262">
        <f t="shared" si="57"/>
        <v>0</v>
      </c>
      <c r="H262" t="s">
        <v>32</v>
      </c>
      <c r="I262">
        <f t="shared" si="58"/>
        <v>0</v>
      </c>
      <c r="J262">
        <f t="shared" si="53"/>
        <v>15728</v>
      </c>
      <c r="K262" s="15">
        <f t="shared" si="59"/>
        <v>210</v>
      </c>
      <c r="L262" s="15">
        <f t="shared" si="60"/>
        <v>345</v>
      </c>
      <c r="M262">
        <v>19</v>
      </c>
      <c r="N262">
        <v>7</v>
      </c>
      <c r="O262">
        <v>5</v>
      </c>
      <c r="P262">
        <v>11</v>
      </c>
      <c r="Q262" s="9">
        <v>170.935</v>
      </c>
      <c r="R262">
        <v>6</v>
      </c>
      <c r="S262" t="s">
        <v>75</v>
      </c>
      <c r="T262" s="11">
        <f t="shared" si="61"/>
        <v>19</v>
      </c>
      <c r="U262" s="11">
        <f t="shared" si="62"/>
        <v>19</v>
      </c>
      <c r="V262" t="str">
        <f t="shared" si="51"/>
        <v>SN1 2ED</v>
      </c>
      <c r="W262" t="str">
        <f t="shared" si="52"/>
        <v>FY7 6TX</v>
      </c>
      <c r="X262" s="12">
        <v>6143</v>
      </c>
      <c r="Y262" s="15">
        <f t="shared" si="54"/>
        <v>25</v>
      </c>
    </row>
    <row r="263" spans="1:25" x14ac:dyDescent="0.2">
      <c r="A263" t="s">
        <v>3</v>
      </c>
      <c r="B263" s="1">
        <v>42721</v>
      </c>
      <c r="C263" s="2" t="str">
        <f t="shared" si="55"/>
        <v>Sat</v>
      </c>
      <c r="D263" t="s">
        <v>26</v>
      </c>
      <c r="E263" t="s">
        <v>6</v>
      </c>
      <c r="F263" t="str">
        <f t="shared" si="56"/>
        <v>D</v>
      </c>
      <c r="G263">
        <f t="shared" si="57"/>
        <v>0</v>
      </c>
      <c r="H263" t="s">
        <v>32</v>
      </c>
      <c r="I263">
        <f t="shared" si="58"/>
        <v>0</v>
      </c>
      <c r="J263">
        <f t="shared" si="53"/>
        <v>11300</v>
      </c>
      <c r="K263" s="15">
        <f t="shared" si="59"/>
        <v>1437</v>
      </c>
      <c r="L263" s="15">
        <f t="shared" si="60"/>
        <v>253</v>
      </c>
      <c r="M263">
        <v>16</v>
      </c>
      <c r="N263">
        <v>4</v>
      </c>
      <c r="O263">
        <v>5</v>
      </c>
      <c r="P263">
        <v>5</v>
      </c>
      <c r="Q263" s="9">
        <v>86.174000000000007</v>
      </c>
      <c r="R263">
        <v>7</v>
      </c>
      <c r="T263" s="11">
        <f t="shared" si="61"/>
        <v>20</v>
      </c>
      <c r="U263" s="11">
        <f t="shared" si="62"/>
        <v>20</v>
      </c>
      <c r="V263" t="str">
        <f t="shared" si="51"/>
        <v>WS1 4SA</v>
      </c>
      <c r="W263" t="str">
        <f t="shared" si="52"/>
        <v>BD8 7DY</v>
      </c>
      <c r="X263" s="12">
        <v>5148</v>
      </c>
      <c r="Y263" s="15">
        <f t="shared" si="54"/>
        <v>25.5</v>
      </c>
    </row>
    <row r="264" spans="1:25" x14ac:dyDescent="0.2">
      <c r="A264" t="s">
        <v>3</v>
      </c>
      <c r="B264" s="1">
        <v>42725</v>
      </c>
      <c r="C264" s="2" t="str">
        <f t="shared" si="55"/>
        <v>Wed</v>
      </c>
      <c r="D264" t="s">
        <v>10</v>
      </c>
      <c r="E264" t="s">
        <v>9</v>
      </c>
      <c r="F264" t="str">
        <f t="shared" si="56"/>
        <v>E</v>
      </c>
      <c r="G264">
        <f t="shared" si="57"/>
        <v>1</v>
      </c>
      <c r="H264" t="s">
        <v>32</v>
      </c>
      <c r="I264">
        <f t="shared" si="58"/>
        <v>0</v>
      </c>
      <c r="J264">
        <f t="shared" si="53"/>
        <v>20146</v>
      </c>
      <c r="K264" s="15">
        <f t="shared" si="59"/>
        <v>680</v>
      </c>
      <c r="L264" s="15">
        <f t="shared" si="60"/>
        <v>333</v>
      </c>
      <c r="M264">
        <v>14</v>
      </c>
      <c r="N264">
        <v>13</v>
      </c>
      <c r="O264">
        <v>7</v>
      </c>
      <c r="P264">
        <v>5</v>
      </c>
      <c r="Q264" s="9">
        <v>3.7989999999999999</v>
      </c>
      <c r="R264">
        <v>10</v>
      </c>
      <c r="S264" t="s">
        <v>80</v>
      </c>
      <c r="T264" s="11">
        <f t="shared" si="61"/>
        <v>22</v>
      </c>
      <c r="U264" s="11">
        <f t="shared" si="62"/>
        <v>23</v>
      </c>
      <c r="V264" t="str">
        <f t="shared" si="51"/>
        <v>SE16 3LN</v>
      </c>
      <c r="W264" t="str">
        <f t="shared" si="52"/>
        <v>SE7 8BL</v>
      </c>
      <c r="X264" s="12">
        <v>14395</v>
      </c>
      <c r="Y264" s="15">
        <f t="shared" si="54"/>
        <v>30</v>
      </c>
    </row>
    <row r="265" spans="1:25" x14ac:dyDescent="0.2">
      <c r="A265" t="s">
        <v>3</v>
      </c>
      <c r="B265" s="1">
        <v>42730</v>
      </c>
      <c r="C265" s="2" t="str">
        <f t="shared" si="55"/>
        <v>Mon</v>
      </c>
      <c r="D265" t="s">
        <v>4</v>
      </c>
      <c r="E265" t="s">
        <v>20</v>
      </c>
      <c r="F265" t="str">
        <f t="shared" si="56"/>
        <v>E</v>
      </c>
      <c r="G265">
        <f t="shared" si="57"/>
        <v>1</v>
      </c>
      <c r="H265" t="s">
        <v>31</v>
      </c>
      <c r="I265">
        <f t="shared" si="58"/>
        <v>1</v>
      </c>
      <c r="J265">
        <f t="shared" si="53"/>
        <v>28723</v>
      </c>
      <c r="K265" s="15">
        <f t="shared" si="59"/>
        <v>438</v>
      </c>
      <c r="L265" s="15">
        <f t="shared" si="60"/>
        <v>280</v>
      </c>
      <c r="M265">
        <v>3</v>
      </c>
      <c r="N265">
        <v>22</v>
      </c>
      <c r="O265">
        <v>12</v>
      </c>
      <c r="P265">
        <v>7</v>
      </c>
      <c r="Q265" s="9">
        <v>62.302999999999997</v>
      </c>
      <c r="R265">
        <v>7</v>
      </c>
      <c r="T265" s="11">
        <f t="shared" si="61"/>
        <v>15</v>
      </c>
      <c r="U265" s="11">
        <f t="shared" si="62"/>
        <v>15</v>
      </c>
      <c r="V265" t="str">
        <f t="shared" si="51"/>
        <v>BL6 6JW</v>
      </c>
      <c r="W265" t="str">
        <f t="shared" si="52"/>
        <v>SY2 6ST</v>
      </c>
      <c r="X265" s="12">
        <v>16238</v>
      </c>
      <c r="Y265" s="15">
        <f t="shared" si="54"/>
        <v>30</v>
      </c>
    </row>
    <row r="266" spans="1:25" x14ac:dyDescent="0.2">
      <c r="A266" t="s">
        <v>3</v>
      </c>
      <c r="B266" s="1">
        <v>42730</v>
      </c>
      <c r="C266" s="2" t="str">
        <f t="shared" si="55"/>
        <v>Mon</v>
      </c>
      <c r="D266" t="s">
        <v>6</v>
      </c>
      <c r="E266" t="s">
        <v>18</v>
      </c>
      <c r="F266" t="str">
        <f t="shared" si="56"/>
        <v>E</v>
      </c>
      <c r="G266">
        <f t="shared" si="57"/>
        <v>1</v>
      </c>
      <c r="H266" t="s">
        <v>31</v>
      </c>
      <c r="I266">
        <f t="shared" si="58"/>
        <v>1</v>
      </c>
      <c r="J266">
        <f t="shared" si="53"/>
        <v>25136</v>
      </c>
      <c r="K266" s="15">
        <f t="shared" si="59"/>
        <v>508</v>
      </c>
      <c r="L266" s="15">
        <f t="shared" si="60"/>
        <v>149</v>
      </c>
      <c r="M266">
        <v>4</v>
      </c>
      <c r="N266">
        <v>1</v>
      </c>
      <c r="O266">
        <v>6</v>
      </c>
      <c r="P266">
        <v>8</v>
      </c>
      <c r="Q266" s="9">
        <v>46.066000000000003</v>
      </c>
      <c r="R266">
        <v>4</v>
      </c>
      <c r="S266" t="s">
        <v>68</v>
      </c>
      <c r="T266" s="11">
        <f t="shared" si="61"/>
        <v>25</v>
      </c>
      <c r="U266" s="11">
        <f t="shared" si="62"/>
        <v>20</v>
      </c>
      <c r="V266" t="str">
        <f t="shared" si="51"/>
        <v>BD8 7DY</v>
      </c>
      <c r="W266" t="str">
        <f t="shared" si="52"/>
        <v>DN15 8TD</v>
      </c>
      <c r="X266" s="12">
        <v>21874</v>
      </c>
      <c r="Y266" s="15">
        <f t="shared" si="54"/>
        <v>25</v>
      </c>
    </row>
    <row r="267" spans="1:25" x14ac:dyDescent="0.2">
      <c r="A267" t="s">
        <v>3</v>
      </c>
      <c r="B267" s="1">
        <v>42730</v>
      </c>
      <c r="C267" s="2" t="str">
        <f t="shared" si="55"/>
        <v>Mon</v>
      </c>
      <c r="D267" t="s">
        <v>19</v>
      </c>
      <c r="E267" t="s">
        <v>25</v>
      </c>
      <c r="F267" t="str">
        <f t="shared" si="56"/>
        <v>E</v>
      </c>
      <c r="G267">
        <f t="shared" si="57"/>
        <v>1</v>
      </c>
      <c r="H267" t="s">
        <v>31</v>
      </c>
      <c r="I267">
        <f t="shared" si="58"/>
        <v>1</v>
      </c>
      <c r="J267">
        <f t="shared" si="53"/>
        <v>12000</v>
      </c>
      <c r="K267" s="15">
        <f t="shared" si="59"/>
        <v>1280</v>
      </c>
      <c r="L267" s="15">
        <f t="shared" si="60"/>
        <v>260</v>
      </c>
      <c r="M267">
        <v>10</v>
      </c>
      <c r="N267">
        <v>23</v>
      </c>
      <c r="O267">
        <v>6</v>
      </c>
      <c r="P267">
        <v>0</v>
      </c>
      <c r="Q267" s="9">
        <v>81.081000000000003</v>
      </c>
      <c r="R267">
        <v>5</v>
      </c>
      <c r="T267" s="11">
        <f t="shared" si="61"/>
        <v>18</v>
      </c>
      <c r="U267" s="11">
        <f t="shared" si="62"/>
        <v>16</v>
      </c>
      <c r="V267" t="str">
        <f t="shared" si="51"/>
        <v>BS7 0BF</v>
      </c>
      <c r="W267" t="str">
        <f t="shared" si="52"/>
        <v>CV6 6GE</v>
      </c>
      <c r="X267" s="12">
        <v>11200</v>
      </c>
      <c r="Y267" s="15">
        <f t="shared" si="54"/>
        <v>26</v>
      </c>
    </row>
    <row r="268" spans="1:25" x14ac:dyDescent="0.2">
      <c r="A268" t="s">
        <v>3</v>
      </c>
      <c r="B268" s="1">
        <v>42730</v>
      </c>
      <c r="C268" s="2" t="str">
        <f t="shared" si="55"/>
        <v>Mon</v>
      </c>
      <c r="D268" t="s">
        <v>13</v>
      </c>
      <c r="E268" t="s">
        <v>8</v>
      </c>
      <c r="F268" t="str">
        <f t="shared" si="56"/>
        <v>E</v>
      </c>
      <c r="G268">
        <f t="shared" si="57"/>
        <v>1</v>
      </c>
      <c r="H268" t="s">
        <v>31</v>
      </c>
      <c r="I268">
        <f t="shared" si="58"/>
        <v>1</v>
      </c>
      <c r="J268">
        <f t="shared" si="53"/>
        <v>5327</v>
      </c>
      <c r="K268" s="15">
        <f t="shared" si="59"/>
        <v>608</v>
      </c>
      <c r="L268" s="15">
        <f t="shared" si="60"/>
        <v>210</v>
      </c>
      <c r="M268">
        <v>8</v>
      </c>
      <c r="N268">
        <v>22</v>
      </c>
      <c r="O268">
        <v>9</v>
      </c>
      <c r="P268">
        <v>1</v>
      </c>
      <c r="Q268" s="9">
        <v>37.767000000000003</v>
      </c>
      <c r="R268">
        <v>7</v>
      </c>
      <c r="T268" s="11">
        <f t="shared" si="61"/>
        <v>21.5</v>
      </c>
      <c r="U268" s="11">
        <f t="shared" si="62"/>
        <v>21.5</v>
      </c>
      <c r="V268" t="str">
        <f t="shared" si="51"/>
        <v>FY7 6TX</v>
      </c>
      <c r="W268" t="str">
        <f t="shared" si="52"/>
        <v>BL9 9HR</v>
      </c>
      <c r="X268" s="12">
        <v>4017</v>
      </c>
      <c r="Y268" s="15">
        <f t="shared" si="54"/>
        <v>23.5</v>
      </c>
    </row>
    <row r="269" spans="1:25" x14ac:dyDescent="0.2">
      <c r="A269" t="s">
        <v>3</v>
      </c>
      <c r="B269" s="1">
        <v>42730</v>
      </c>
      <c r="C269" s="2" t="str">
        <f t="shared" si="55"/>
        <v>Mon</v>
      </c>
      <c r="D269" t="s">
        <v>10</v>
      </c>
      <c r="E269" t="s">
        <v>24</v>
      </c>
      <c r="F269" t="str">
        <f t="shared" si="56"/>
        <v>E</v>
      </c>
      <c r="G269">
        <f t="shared" si="57"/>
        <v>1</v>
      </c>
      <c r="H269" t="s">
        <v>31</v>
      </c>
      <c r="I269">
        <f t="shared" si="58"/>
        <v>1</v>
      </c>
      <c r="J269">
        <f t="shared" si="53"/>
        <v>20146</v>
      </c>
      <c r="K269" s="15">
        <f t="shared" si="59"/>
        <v>503</v>
      </c>
      <c r="L269" s="15">
        <f t="shared" si="60"/>
        <v>333</v>
      </c>
      <c r="M269">
        <v>10</v>
      </c>
      <c r="N269">
        <v>19</v>
      </c>
      <c r="O269">
        <v>9</v>
      </c>
      <c r="P269">
        <v>5</v>
      </c>
      <c r="Q269" s="9">
        <v>74.168000000000006</v>
      </c>
      <c r="R269">
        <v>9</v>
      </c>
      <c r="S269" t="s">
        <v>74</v>
      </c>
      <c r="T269" s="11">
        <f t="shared" si="61"/>
        <v>22</v>
      </c>
      <c r="U269" s="11">
        <f t="shared" si="62"/>
        <v>23</v>
      </c>
      <c r="V269" t="str">
        <f t="shared" si="51"/>
        <v>SE16 3LN</v>
      </c>
      <c r="W269" t="str">
        <f t="shared" si="52"/>
        <v>SN1 2ED</v>
      </c>
      <c r="X269" s="12">
        <v>8515</v>
      </c>
      <c r="Y269" s="15">
        <f t="shared" si="54"/>
        <v>30</v>
      </c>
    </row>
    <row r="270" spans="1:25" x14ac:dyDescent="0.2">
      <c r="A270" t="s">
        <v>3</v>
      </c>
      <c r="B270" s="1">
        <v>42730</v>
      </c>
      <c r="C270" s="2" t="str">
        <f t="shared" si="55"/>
        <v>Mon</v>
      </c>
      <c r="D270" t="s">
        <v>21</v>
      </c>
      <c r="E270" t="s">
        <v>9</v>
      </c>
      <c r="F270" t="str">
        <f t="shared" si="56"/>
        <v>E</v>
      </c>
      <c r="G270">
        <f t="shared" si="57"/>
        <v>1</v>
      </c>
      <c r="H270" t="s">
        <v>31</v>
      </c>
      <c r="I270">
        <f t="shared" si="58"/>
        <v>1</v>
      </c>
      <c r="J270">
        <f t="shared" si="53"/>
        <v>30500</v>
      </c>
      <c r="K270" s="15">
        <f t="shared" si="59"/>
        <v>680</v>
      </c>
      <c r="L270" s="15">
        <f t="shared" si="60"/>
        <v>312</v>
      </c>
      <c r="M270">
        <v>18</v>
      </c>
      <c r="N270">
        <v>14</v>
      </c>
      <c r="O270">
        <v>6</v>
      </c>
      <c r="P270">
        <v>5</v>
      </c>
      <c r="Q270" s="9">
        <v>49.127000000000002</v>
      </c>
      <c r="R270">
        <v>1</v>
      </c>
      <c r="T270" s="11">
        <f t="shared" si="61"/>
        <v>22</v>
      </c>
      <c r="U270" s="11">
        <f t="shared" si="62"/>
        <v>22</v>
      </c>
      <c r="V270" t="str">
        <f t="shared" si="51"/>
        <v>MK1 1ST</v>
      </c>
      <c r="W270" t="str">
        <f t="shared" si="52"/>
        <v>SE7 8BL</v>
      </c>
      <c r="X270" s="12">
        <v>10257</v>
      </c>
      <c r="Y270" s="15">
        <f t="shared" si="54"/>
        <v>27</v>
      </c>
    </row>
    <row r="271" spans="1:25" x14ac:dyDescent="0.2">
      <c r="A271" t="s">
        <v>3</v>
      </c>
      <c r="B271" s="1">
        <v>42730</v>
      </c>
      <c r="C271" s="2" t="str">
        <f t="shared" si="55"/>
        <v>Mon</v>
      </c>
      <c r="D271" t="s">
        <v>14</v>
      </c>
      <c r="E271" t="s">
        <v>12</v>
      </c>
      <c r="F271" t="str">
        <f t="shared" si="56"/>
        <v>E</v>
      </c>
      <c r="G271">
        <f t="shared" si="57"/>
        <v>1</v>
      </c>
      <c r="H271" t="s">
        <v>31</v>
      </c>
      <c r="I271">
        <f t="shared" si="58"/>
        <v>1</v>
      </c>
      <c r="J271">
        <f t="shared" si="53"/>
        <v>12500</v>
      </c>
      <c r="K271" s="15">
        <f t="shared" si="59"/>
        <v>843</v>
      </c>
      <c r="L271" s="15">
        <f t="shared" si="60"/>
        <v>290</v>
      </c>
      <c r="M271">
        <v>11</v>
      </c>
      <c r="N271">
        <v>15</v>
      </c>
      <c r="O271">
        <v>8</v>
      </c>
      <c r="P271">
        <v>6</v>
      </c>
      <c r="Q271" s="9">
        <v>37.756</v>
      </c>
      <c r="R271">
        <v>2</v>
      </c>
      <c r="T271" s="11">
        <f t="shared" si="61"/>
        <v>20</v>
      </c>
      <c r="U271" s="11">
        <f t="shared" si="62"/>
        <v>21</v>
      </c>
      <c r="V271" t="str">
        <f t="shared" ref="V271:V334" si="63">IF(D271="Bolton","BL6 6JW",IF(D271="Bradford","BD8 7DY",IF(D271="Bury","BL9 9HR",IF(D271="Millwall","SE16 3LN",IF(D271="Northampton","NN5 5QA",IF(D271="Oxford","OX4 4XP",IF(D271="Rochdale","OL11 5DR",IF(D271="Scunthorpe","DN15 8TD",IF(D271="Shrewsbury","SY2 6ST",IF(D271="Southend","SS2 6NQ",IF(D271="Swindon","SN1 2ED",IF(D271="Walsall","WS1 4SA",IF(D271="Sheffield United","S2 4SU",IF(D271="Port Vale","ST6 1AW",IF(D271="Charlton","SE7 8BL",IF(D271="Oldham","OL1 2PA",IF(D271="Fleetwood Town","FY7 6TX",IF(D271="Chesterfield","S41 8NZ",IF(D271="Peterboro","PE2 8AL",IF(D271="Bristol Rvs","BS7 0BF",IF(D271="Milton Keynes Dons","MK1 1ST",IF(D271="Gillingham","ME7 4DD",IF(D271="Coventry","CV6 6GE",IF(D271="AFC Wimbledon","KT1 3PB"))))))))))))))))))))))))</f>
        <v>OX4 4XP</v>
      </c>
      <c r="W271" t="str">
        <f t="shared" ref="W271:W334" si="64">IF(E271="Bolton","BL6 6JW",IF(E271="Bradford","BD8 7DY",IF(E271="Bury","BL9 9HR",IF(E271="Millwall","SE16 3LN",IF(E271="Northampton","NN5 5QA",IF(E271="Oxford","OX4 4XP",IF(E271="Rochdale","OL11 5DR",IF(E271="Scunthorpe","DN15 8TD",IF(E271="Shrewsbury","SY2 6ST",IF(E271="Southend","SS2 6NQ",IF(E271="Swindon","SN1 2ED",IF(E271="Walsall","WS1 4SA",IF(E271="Sheffield United","S2 4SU",IF(E271="Port Vale","ST6 1AW",IF(E271="Charlton","SE7 8BL",IF(E271="Oldham","OL1 2PA",IF(E271="Fleetwood Town","FY7 6TX",IF(E271="Chesterfield","S41 8NZ",IF(E271="Peterboro","PE2 8AL",IF(E271="Bristol Rvs","BS7 0BF",IF(E271="Milton Keynes Dons","MK1 1ST",IF(E271="Gillingham","ME7 4DD",IF(E271="Coventry","CV6 6GE",IF(E271="AFC Wimbledon","KT1 3PB"))))))))))))))))))))))))</f>
        <v>NN5 5QA</v>
      </c>
      <c r="X271" s="12">
        <v>11790</v>
      </c>
      <c r="Y271" s="15">
        <f t="shared" si="54"/>
        <v>24</v>
      </c>
    </row>
    <row r="272" spans="1:25" x14ac:dyDescent="0.2">
      <c r="A272" t="s">
        <v>3</v>
      </c>
      <c r="B272" s="1">
        <v>42730</v>
      </c>
      <c r="C272" s="2" t="str">
        <f t="shared" si="55"/>
        <v>Mon</v>
      </c>
      <c r="D272" t="s">
        <v>17</v>
      </c>
      <c r="E272" t="s">
        <v>23</v>
      </c>
      <c r="F272" t="str">
        <f t="shared" si="56"/>
        <v>E</v>
      </c>
      <c r="G272">
        <f t="shared" si="57"/>
        <v>1</v>
      </c>
      <c r="H272" t="s">
        <v>31</v>
      </c>
      <c r="I272">
        <f t="shared" si="58"/>
        <v>1</v>
      </c>
      <c r="J272">
        <f t="shared" si="53"/>
        <v>15314</v>
      </c>
      <c r="K272" s="15">
        <f t="shared" si="59"/>
        <v>533</v>
      </c>
      <c r="L272" s="15">
        <f t="shared" si="60"/>
        <v>295</v>
      </c>
      <c r="M272">
        <v>6</v>
      </c>
      <c r="N272">
        <v>13</v>
      </c>
      <c r="O272">
        <v>10</v>
      </c>
      <c r="P272">
        <v>7</v>
      </c>
      <c r="Q272" s="9">
        <v>88.478999999999999</v>
      </c>
      <c r="R272">
        <v>4</v>
      </c>
      <c r="T272" s="11">
        <f t="shared" si="61"/>
        <v>21</v>
      </c>
      <c r="U272" s="11">
        <f t="shared" si="62"/>
        <v>20</v>
      </c>
      <c r="V272" t="str">
        <f t="shared" si="63"/>
        <v>PE2 8AL</v>
      </c>
      <c r="W272" t="str">
        <f t="shared" si="64"/>
        <v>ME7 4DD</v>
      </c>
      <c r="X272" s="12">
        <v>6239</v>
      </c>
      <c r="Y272" s="15">
        <f t="shared" si="54"/>
        <v>26</v>
      </c>
    </row>
    <row r="273" spans="1:25" x14ac:dyDescent="0.2">
      <c r="A273" t="s">
        <v>3</v>
      </c>
      <c r="B273" s="1">
        <v>42730</v>
      </c>
      <c r="C273" s="2" t="str">
        <f t="shared" si="55"/>
        <v>Mon</v>
      </c>
      <c r="D273" t="s">
        <v>7</v>
      </c>
      <c r="E273" t="s">
        <v>26</v>
      </c>
      <c r="F273" t="str">
        <f t="shared" si="56"/>
        <v>E</v>
      </c>
      <c r="G273">
        <f t="shared" si="57"/>
        <v>1</v>
      </c>
      <c r="H273" t="s">
        <v>31</v>
      </c>
      <c r="I273">
        <f t="shared" si="58"/>
        <v>1</v>
      </c>
      <c r="J273">
        <f t="shared" si="53"/>
        <v>18947</v>
      </c>
      <c r="K273" s="15">
        <f t="shared" si="59"/>
        <v>792</v>
      </c>
      <c r="L273" s="15">
        <f t="shared" si="60"/>
        <v>345</v>
      </c>
      <c r="M273">
        <v>17</v>
      </c>
      <c r="N273">
        <v>16</v>
      </c>
      <c r="O273">
        <v>2</v>
      </c>
      <c r="P273">
        <v>8</v>
      </c>
      <c r="Q273" s="9">
        <v>34.570999999999998</v>
      </c>
      <c r="R273">
        <v>7</v>
      </c>
      <c r="T273" s="11">
        <f t="shared" si="61"/>
        <v>22</v>
      </c>
      <c r="U273" s="11">
        <f t="shared" si="62"/>
        <v>22</v>
      </c>
      <c r="V273" t="str">
        <f t="shared" si="63"/>
        <v>ST6 1AW</v>
      </c>
      <c r="W273" t="str">
        <f t="shared" si="64"/>
        <v>WS1 4SA</v>
      </c>
      <c r="X273" s="12">
        <v>5854</v>
      </c>
      <c r="Y273" s="15">
        <f t="shared" si="54"/>
        <v>23</v>
      </c>
    </row>
    <row r="274" spans="1:25" x14ac:dyDescent="0.2">
      <c r="A274" t="s">
        <v>3</v>
      </c>
      <c r="B274" s="1">
        <v>42730</v>
      </c>
      <c r="C274" s="2" t="str">
        <f t="shared" si="55"/>
        <v>Mon</v>
      </c>
      <c r="D274" t="s">
        <v>16</v>
      </c>
      <c r="E274" t="s">
        <v>15</v>
      </c>
      <c r="F274" t="str">
        <f t="shared" si="56"/>
        <v>E</v>
      </c>
      <c r="G274">
        <f t="shared" si="57"/>
        <v>1</v>
      </c>
      <c r="H274" t="s">
        <v>31</v>
      </c>
      <c r="I274">
        <f t="shared" si="58"/>
        <v>1</v>
      </c>
      <c r="J274">
        <f t="shared" si="53"/>
        <v>10249</v>
      </c>
      <c r="K274" s="15">
        <f t="shared" si="59"/>
        <v>583</v>
      </c>
      <c r="L274" s="15">
        <f t="shared" si="60"/>
        <v>290</v>
      </c>
      <c r="M274">
        <v>5</v>
      </c>
      <c r="N274">
        <v>21</v>
      </c>
      <c r="O274">
        <v>12</v>
      </c>
      <c r="P274">
        <v>9</v>
      </c>
      <c r="Q274" s="9">
        <v>40.085999999999999</v>
      </c>
      <c r="R274">
        <v>4</v>
      </c>
      <c r="S274" t="s">
        <v>68</v>
      </c>
      <c r="T274" s="11">
        <f t="shared" si="61"/>
        <v>17</v>
      </c>
      <c r="U274" s="11">
        <f t="shared" si="62"/>
        <v>22</v>
      </c>
      <c r="V274" t="str">
        <f t="shared" si="63"/>
        <v>OL11 5DR</v>
      </c>
      <c r="W274" t="str">
        <f t="shared" si="64"/>
        <v>S41 8NZ</v>
      </c>
      <c r="X274" s="12">
        <v>3863</v>
      </c>
      <c r="Y274" s="15">
        <f t="shared" si="54"/>
        <v>22</v>
      </c>
    </row>
    <row r="275" spans="1:25" x14ac:dyDescent="0.2">
      <c r="A275" t="s">
        <v>3</v>
      </c>
      <c r="B275" s="1">
        <v>42730</v>
      </c>
      <c r="C275" s="2" t="str">
        <f t="shared" si="55"/>
        <v>Mon</v>
      </c>
      <c r="D275" t="s">
        <v>5</v>
      </c>
      <c r="E275" t="s">
        <v>11</v>
      </c>
      <c r="F275" t="str">
        <f t="shared" si="56"/>
        <v>E</v>
      </c>
      <c r="G275">
        <f t="shared" si="57"/>
        <v>1</v>
      </c>
      <c r="H275" t="s">
        <v>31</v>
      </c>
      <c r="I275">
        <f t="shared" si="58"/>
        <v>1</v>
      </c>
      <c r="J275">
        <f t="shared" si="53"/>
        <v>32702</v>
      </c>
      <c r="K275" s="15">
        <f t="shared" si="59"/>
        <v>729</v>
      </c>
      <c r="L275" s="15">
        <f t="shared" si="60"/>
        <v>288</v>
      </c>
      <c r="M275">
        <v>2</v>
      </c>
      <c r="N275">
        <v>20</v>
      </c>
      <c r="O275">
        <v>10</v>
      </c>
      <c r="P275">
        <v>2</v>
      </c>
      <c r="Q275" s="9">
        <v>29.927</v>
      </c>
      <c r="R275">
        <v>7</v>
      </c>
      <c r="T275" s="11">
        <f t="shared" si="61"/>
        <v>20</v>
      </c>
      <c r="U275" s="11">
        <f t="shared" si="62"/>
        <v>20</v>
      </c>
      <c r="V275" t="str">
        <f t="shared" si="63"/>
        <v>S2 4SU</v>
      </c>
      <c r="W275" t="str">
        <f t="shared" si="64"/>
        <v>OL1 2PA</v>
      </c>
      <c r="X275" s="12">
        <v>25821</v>
      </c>
      <c r="Y275" s="15">
        <f t="shared" si="54"/>
        <v>29</v>
      </c>
    </row>
    <row r="276" spans="1:25" x14ac:dyDescent="0.2">
      <c r="A276" t="s">
        <v>3</v>
      </c>
      <c r="B276" s="1">
        <v>42730</v>
      </c>
      <c r="C276" s="2" t="str">
        <f t="shared" si="55"/>
        <v>Mon</v>
      </c>
      <c r="D276" t="s">
        <v>22</v>
      </c>
      <c r="E276" t="s">
        <v>27</v>
      </c>
      <c r="F276" t="str">
        <f t="shared" si="56"/>
        <v>E</v>
      </c>
      <c r="G276">
        <f t="shared" si="57"/>
        <v>1</v>
      </c>
      <c r="H276" t="s">
        <v>31</v>
      </c>
      <c r="I276">
        <f t="shared" si="58"/>
        <v>1</v>
      </c>
      <c r="J276">
        <f t="shared" si="53"/>
        <v>12392</v>
      </c>
      <c r="K276" s="15">
        <f t="shared" si="59"/>
        <v>622</v>
      </c>
      <c r="L276" s="15">
        <f t="shared" si="60"/>
        <v>395</v>
      </c>
      <c r="M276">
        <v>7</v>
      </c>
      <c r="N276">
        <v>9</v>
      </c>
      <c r="O276">
        <v>11</v>
      </c>
      <c r="P276">
        <v>5</v>
      </c>
      <c r="Q276" s="9">
        <v>43.512</v>
      </c>
      <c r="R276">
        <v>6</v>
      </c>
      <c r="T276" s="11">
        <f t="shared" si="61"/>
        <v>25</v>
      </c>
      <c r="U276" s="11">
        <f t="shared" si="62"/>
        <v>22</v>
      </c>
      <c r="V276" t="str">
        <f t="shared" si="63"/>
        <v>SS2 6NQ</v>
      </c>
      <c r="W276" t="str">
        <f t="shared" si="64"/>
        <v>KT1 3PB</v>
      </c>
      <c r="X276" s="12">
        <v>8493</v>
      </c>
      <c r="Y276" s="15">
        <f t="shared" si="54"/>
        <v>25</v>
      </c>
    </row>
    <row r="277" spans="1:25" x14ac:dyDescent="0.2">
      <c r="A277" t="s">
        <v>3</v>
      </c>
      <c r="B277" s="1">
        <v>42734</v>
      </c>
      <c r="C277" s="2" t="str">
        <f t="shared" si="55"/>
        <v>Fri</v>
      </c>
      <c r="D277" t="s">
        <v>10</v>
      </c>
      <c r="E277" t="s">
        <v>23</v>
      </c>
      <c r="F277" t="str">
        <f t="shared" si="56"/>
        <v>E</v>
      </c>
      <c r="G277">
        <f t="shared" si="57"/>
        <v>1</v>
      </c>
      <c r="H277" t="s">
        <v>32</v>
      </c>
      <c r="I277">
        <f t="shared" si="58"/>
        <v>0</v>
      </c>
      <c r="J277">
        <f t="shared" si="53"/>
        <v>20146</v>
      </c>
      <c r="K277" s="15">
        <f t="shared" si="59"/>
        <v>533</v>
      </c>
      <c r="L277" s="15">
        <f t="shared" si="60"/>
        <v>333</v>
      </c>
      <c r="M277">
        <v>9</v>
      </c>
      <c r="N277">
        <v>16</v>
      </c>
      <c r="O277">
        <v>9</v>
      </c>
      <c r="P277">
        <v>7</v>
      </c>
      <c r="Q277" s="9">
        <v>27.263000000000002</v>
      </c>
      <c r="R277">
        <v>2</v>
      </c>
      <c r="S277" t="s">
        <v>69</v>
      </c>
      <c r="T277" s="11">
        <f t="shared" si="61"/>
        <v>22</v>
      </c>
      <c r="U277" s="11">
        <f t="shared" si="62"/>
        <v>23</v>
      </c>
      <c r="V277" t="str">
        <f t="shared" si="63"/>
        <v>SE16 3LN</v>
      </c>
      <c r="W277" t="str">
        <f t="shared" si="64"/>
        <v>ME7 4DD</v>
      </c>
      <c r="X277" s="12">
        <v>10821</v>
      </c>
      <c r="Y277" s="15">
        <f t="shared" si="54"/>
        <v>30</v>
      </c>
    </row>
    <row r="278" spans="1:25" x14ac:dyDescent="0.2">
      <c r="A278" t="s">
        <v>3</v>
      </c>
      <c r="B278" s="1">
        <v>42734</v>
      </c>
      <c r="C278" s="2" t="str">
        <f t="shared" si="55"/>
        <v>Fri</v>
      </c>
      <c r="D278" t="s">
        <v>21</v>
      </c>
      <c r="E278" t="s">
        <v>24</v>
      </c>
      <c r="F278" t="str">
        <f t="shared" si="56"/>
        <v>E</v>
      </c>
      <c r="G278">
        <f t="shared" si="57"/>
        <v>1</v>
      </c>
      <c r="H278" t="s">
        <v>32</v>
      </c>
      <c r="I278">
        <f t="shared" si="58"/>
        <v>0</v>
      </c>
      <c r="J278">
        <f t="shared" si="53"/>
        <v>30500</v>
      </c>
      <c r="K278" s="15">
        <f t="shared" si="59"/>
        <v>503</v>
      </c>
      <c r="L278" s="15">
        <f t="shared" si="60"/>
        <v>312</v>
      </c>
      <c r="M278">
        <v>18</v>
      </c>
      <c r="N278">
        <v>19</v>
      </c>
      <c r="O278">
        <v>9</v>
      </c>
      <c r="P278">
        <v>4</v>
      </c>
      <c r="Q278" s="9">
        <v>53.914999999999999</v>
      </c>
      <c r="R278">
        <v>1</v>
      </c>
      <c r="T278" s="11">
        <f t="shared" si="61"/>
        <v>22</v>
      </c>
      <c r="U278" s="11">
        <f t="shared" si="62"/>
        <v>22</v>
      </c>
      <c r="V278" t="str">
        <f t="shared" si="63"/>
        <v>MK1 1ST</v>
      </c>
      <c r="W278" t="str">
        <f t="shared" si="64"/>
        <v>SN1 2ED</v>
      </c>
      <c r="X278" s="12">
        <v>9385</v>
      </c>
      <c r="Y278" s="15">
        <f t="shared" si="54"/>
        <v>27</v>
      </c>
    </row>
    <row r="279" spans="1:25" x14ac:dyDescent="0.2">
      <c r="A279" t="s">
        <v>3</v>
      </c>
      <c r="B279" s="1">
        <v>42734</v>
      </c>
      <c r="C279" s="2" t="str">
        <f t="shared" si="55"/>
        <v>Fri</v>
      </c>
      <c r="D279" t="s">
        <v>7</v>
      </c>
      <c r="E279" t="s">
        <v>15</v>
      </c>
      <c r="F279" t="str">
        <f t="shared" si="56"/>
        <v>E</v>
      </c>
      <c r="G279">
        <f t="shared" si="57"/>
        <v>1</v>
      </c>
      <c r="H279" t="s">
        <v>32</v>
      </c>
      <c r="I279">
        <f t="shared" si="58"/>
        <v>0</v>
      </c>
      <c r="J279">
        <f t="shared" si="53"/>
        <v>18947</v>
      </c>
      <c r="K279" s="15">
        <f t="shared" si="59"/>
        <v>583</v>
      </c>
      <c r="L279" s="15">
        <f t="shared" si="60"/>
        <v>345</v>
      </c>
      <c r="M279">
        <v>17</v>
      </c>
      <c r="N279">
        <v>23</v>
      </c>
      <c r="O279">
        <v>4</v>
      </c>
      <c r="P279">
        <v>6</v>
      </c>
      <c r="Q279" s="9">
        <v>34.771000000000001</v>
      </c>
      <c r="R279">
        <v>9</v>
      </c>
      <c r="T279" s="11">
        <f t="shared" si="61"/>
        <v>22</v>
      </c>
      <c r="U279" s="11">
        <f t="shared" si="62"/>
        <v>22</v>
      </c>
      <c r="V279" t="str">
        <f t="shared" si="63"/>
        <v>ST6 1AW</v>
      </c>
      <c r="W279" t="str">
        <f t="shared" si="64"/>
        <v>S41 8NZ</v>
      </c>
      <c r="X279" s="12">
        <v>4027</v>
      </c>
      <c r="Y279" s="15">
        <f t="shared" si="54"/>
        <v>23</v>
      </c>
    </row>
    <row r="280" spans="1:25" x14ac:dyDescent="0.2">
      <c r="A280" t="s">
        <v>3</v>
      </c>
      <c r="B280" s="1">
        <v>42734</v>
      </c>
      <c r="C280" s="2" t="str">
        <f t="shared" si="55"/>
        <v>Fri</v>
      </c>
      <c r="D280" t="s">
        <v>16</v>
      </c>
      <c r="E280" t="s">
        <v>20</v>
      </c>
      <c r="F280" t="str">
        <f t="shared" si="56"/>
        <v>E</v>
      </c>
      <c r="G280">
        <f t="shared" si="57"/>
        <v>1</v>
      </c>
      <c r="H280" t="s">
        <v>32</v>
      </c>
      <c r="I280">
        <f t="shared" si="58"/>
        <v>0</v>
      </c>
      <c r="J280">
        <f t="shared" si="53"/>
        <v>10249</v>
      </c>
      <c r="K280" s="15">
        <f t="shared" si="59"/>
        <v>438</v>
      </c>
      <c r="L280" s="15">
        <f t="shared" si="60"/>
        <v>290</v>
      </c>
      <c r="M280">
        <v>4</v>
      </c>
      <c r="N280">
        <v>22</v>
      </c>
      <c r="O280">
        <v>12</v>
      </c>
      <c r="P280">
        <v>7</v>
      </c>
      <c r="Q280" s="9">
        <v>68.554000000000002</v>
      </c>
      <c r="R280">
        <v>6</v>
      </c>
      <c r="T280" s="11">
        <f t="shared" si="61"/>
        <v>17</v>
      </c>
      <c r="U280" s="11">
        <f t="shared" si="62"/>
        <v>22</v>
      </c>
      <c r="V280" t="str">
        <f t="shared" si="63"/>
        <v>OL11 5DR</v>
      </c>
      <c r="W280" t="str">
        <f t="shared" si="64"/>
        <v>SY2 6ST</v>
      </c>
      <c r="X280" s="12">
        <v>3594</v>
      </c>
      <c r="Y280" s="15">
        <f t="shared" si="54"/>
        <v>22</v>
      </c>
    </row>
    <row r="281" spans="1:25" x14ac:dyDescent="0.2">
      <c r="A281" t="s">
        <v>3</v>
      </c>
      <c r="B281" s="1">
        <v>42735</v>
      </c>
      <c r="C281" s="2" t="str">
        <f t="shared" si="55"/>
        <v>Sat</v>
      </c>
      <c r="D281" t="s">
        <v>4</v>
      </c>
      <c r="E281" t="s">
        <v>18</v>
      </c>
      <c r="F281" t="str">
        <f t="shared" si="56"/>
        <v>D</v>
      </c>
      <c r="G281">
        <f t="shared" si="57"/>
        <v>0</v>
      </c>
      <c r="H281" t="s">
        <v>32</v>
      </c>
      <c r="I281">
        <f t="shared" si="58"/>
        <v>0</v>
      </c>
      <c r="J281">
        <f t="shared" si="53"/>
        <v>28723</v>
      </c>
      <c r="K281" s="15">
        <f t="shared" si="59"/>
        <v>508</v>
      </c>
      <c r="L281" s="15">
        <f t="shared" si="60"/>
        <v>280</v>
      </c>
      <c r="M281">
        <v>3</v>
      </c>
      <c r="N281">
        <v>1</v>
      </c>
      <c r="O281">
        <v>12</v>
      </c>
      <c r="P281">
        <v>5</v>
      </c>
      <c r="Q281" s="9">
        <v>75.567999999999998</v>
      </c>
      <c r="R281">
        <v>8</v>
      </c>
      <c r="T281" s="11">
        <f t="shared" si="61"/>
        <v>15</v>
      </c>
      <c r="U281" s="11">
        <f t="shared" si="62"/>
        <v>15</v>
      </c>
      <c r="V281" t="str">
        <f t="shared" si="63"/>
        <v>BL6 6JW</v>
      </c>
      <c r="W281" t="str">
        <f t="shared" si="64"/>
        <v>DN15 8TD</v>
      </c>
      <c r="X281" s="12">
        <v>17062</v>
      </c>
      <c r="Y281" s="15">
        <f t="shared" si="54"/>
        <v>30</v>
      </c>
    </row>
    <row r="282" spans="1:25" x14ac:dyDescent="0.2">
      <c r="A282" t="s">
        <v>3</v>
      </c>
      <c r="B282" s="1">
        <v>42735</v>
      </c>
      <c r="C282" s="2" t="str">
        <f t="shared" si="55"/>
        <v>Sat</v>
      </c>
      <c r="D282" t="s">
        <v>6</v>
      </c>
      <c r="E282" t="s">
        <v>8</v>
      </c>
      <c r="F282" t="str">
        <f t="shared" si="56"/>
        <v>D</v>
      </c>
      <c r="G282">
        <f t="shared" si="57"/>
        <v>0</v>
      </c>
      <c r="H282" t="s">
        <v>32</v>
      </c>
      <c r="I282">
        <f t="shared" si="58"/>
        <v>0</v>
      </c>
      <c r="J282">
        <f t="shared" ref="J282:J345" si="65">IF(D282="AFC Wimbledon",4850,IF(D282="Bolton",28723,IF(D282="Bradford",25136,IF(D282="Bury",11841,IF(D282="Millwall",20146,IF(D282="Northampton",7653,IF(D282="Oxford",12500,IF(D282="Rochdale",10249,IF(D282="Scunthorpe",9183,IF(D282="Shrewsbury",9875,IF(D282="Southend",12392,IF(D282="Swindon",15728,IF(D282="Walsall",11300,IF(D282="Charlton",26875,IF(D282="Chesterfield",10504,IF(D282="Coventry",32609,IF(D282="Fleetwood Town",5327,IF(D282="Gillingham",11582,IF(D282="Milton Keynes Dons",30500,IF(D282="Oldham",13559,IF(D282="Peterboro",15314,IF(D282="Port Vale",18947,IF(D282="Sheffield United",32702,IF(D282="Bristol Rvs",12000))))))))))))))))))))))))</f>
        <v>25136</v>
      </c>
      <c r="K282" s="15">
        <f t="shared" si="59"/>
        <v>608</v>
      </c>
      <c r="L282" s="15">
        <f t="shared" si="60"/>
        <v>149</v>
      </c>
      <c r="M282">
        <v>5</v>
      </c>
      <c r="N282">
        <v>20</v>
      </c>
      <c r="O282">
        <v>4</v>
      </c>
      <c r="P282">
        <v>2</v>
      </c>
      <c r="Q282" s="9">
        <v>26.797999999999998</v>
      </c>
      <c r="R282">
        <v>8</v>
      </c>
      <c r="T282" s="11">
        <f t="shared" si="61"/>
        <v>25</v>
      </c>
      <c r="U282" s="11">
        <f t="shared" si="62"/>
        <v>20</v>
      </c>
      <c r="V282" t="str">
        <f t="shared" si="63"/>
        <v>BD8 7DY</v>
      </c>
      <c r="W282" t="str">
        <f t="shared" si="64"/>
        <v>BL9 9HR</v>
      </c>
      <c r="X282" s="12">
        <v>18012</v>
      </c>
      <c r="Y282" s="15">
        <f t="shared" si="54"/>
        <v>25</v>
      </c>
    </row>
    <row r="283" spans="1:25" x14ac:dyDescent="0.2">
      <c r="A283" t="s">
        <v>3</v>
      </c>
      <c r="B283" s="1">
        <v>42735</v>
      </c>
      <c r="C283" s="2" t="str">
        <f t="shared" si="55"/>
        <v>Sat</v>
      </c>
      <c r="D283" t="s">
        <v>19</v>
      </c>
      <c r="E283" t="s">
        <v>27</v>
      </c>
      <c r="F283" t="str">
        <f t="shared" si="56"/>
        <v>D</v>
      </c>
      <c r="G283">
        <f t="shared" si="57"/>
        <v>0</v>
      </c>
      <c r="H283" t="s">
        <v>32</v>
      </c>
      <c r="I283">
        <f t="shared" si="58"/>
        <v>0</v>
      </c>
      <c r="J283">
        <f t="shared" si="65"/>
        <v>12000</v>
      </c>
      <c r="K283" s="15">
        <f t="shared" si="59"/>
        <v>622</v>
      </c>
      <c r="L283" s="15">
        <f t="shared" si="60"/>
        <v>260</v>
      </c>
      <c r="M283">
        <v>10</v>
      </c>
      <c r="N283">
        <v>11</v>
      </c>
      <c r="O283">
        <v>9</v>
      </c>
      <c r="P283">
        <v>4</v>
      </c>
      <c r="Q283" s="9">
        <v>99.397999999999996</v>
      </c>
      <c r="R283">
        <v>7</v>
      </c>
      <c r="T283" s="11">
        <f t="shared" si="61"/>
        <v>18</v>
      </c>
      <c r="U283" s="11">
        <f t="shared" si="62"/>
        <v>16</v>
      </c>
      <c r="V283" t="str">
        <f t="shared" si="63"/>
        <v>BS7 0BF</v>
      </c>
      <c r="W283" t="str">
        <f t="shared" si="64"/>
        <v>KT1 3PB</v>
      </c>
      <c r="X283" s="12">
        <v>10093</v>
      </c>
      <c r="Y283" s="15">
        <f t="shared" si="54"/>
        <v>26</v>
      </c>
    </row>
    <row r="284" spans="1:25" x14ac:dyDescent="0.2">
      <c r="A284" t="s">
        <v>3</v>
      </c>
      <c r="B284" s="1">
        <v>42735</v>
      </c>
      <c r="C284" s="2" t="str">
        <f t="shared" si="55"/>
        <v>Sat</v>
      </c>
      <c r="D284" t="s">
        <v>13</v>
      </c>
      <c r="E284" t="s">
        <v>11</v>
      </c>
      <c r="F284" t="str">
        <f t="shared" si="56"/>
        <v>D</v>
      </c>
      <c r="G284">
        <f t="shared" si="57"/>
        <v>0</v>
      </c>
      <c r="H284" t="s">
        <v>32</v>
      </c>
      <c r="I284">
        <f t="shared" si="58"/>
        <v>0</v>
      </c>
      <c r="J284">
        <f t="shared" si="65"/>
        <v>5327</v>
      </c>
      <c r="K284" s="15">
        <f t="shared" si="59"/>
        <v>729</v>
      </c>
      <c r="L284" s="15">
        <f t="shared" si="60"/>
        <v>210</v>
      </c>
      <c r="M284">
        <v>9</v>
      </c>
      <c r="N284">
        <v>20</v>
      </c>
      <c r="O284">
        <v>9</v>
      </c>
      <c r="P284">
        <v>2</v>
      </c>
      <c r="Q284" s="9">
        <v>44.383000000000003</v>
      </c>
      <c r="R284">
        <v>8</v>
      </c>
      <c r="T284" s="11">
        <f t="shared" si="61"/>
        <v>21.5</v>
      </c>
      <c r="U284" s="11">
        <f t="shared" si="62"/>
        <v>21.5</v>
      </c>
      <c r="V284" t="str">
        <f t="shared" si="63"/>
        <v>FY7 6TX</v>
      </c>
      <c r="W284" t="str">
        <f t="shared" si="64"/>
        <v>OL1 2PA</v>
      </c>
      <c r="X284" s="12">
        <v>3189</v>
      </c>
      <c r="Y284" s="15">
        <f t="shared" si="54"/>
        <v>23.5</v>
      </c>
    </row>
    <row r="285" spans="1:25" x14ac:dyDescent="0.2">
      <c r="A285" t="s">
        <v>3</v>
      </c>
      <c r="B285" s="1">
        <v>42735</v>
      </c>
      <c r="C285" s="2" t="str">
        <f t="shared" si="55"/>
        <v>Sat</v>
      </c>
      <c r="D285" t="s">
        <v>14</v>
      </c>
      <c r="E285" t="s">
        <v>26</v>
      </c>
      <c r="F285" t="str">
        <f t="shared" si="56"/>
        <v>D</v>
      </c>
      <c r="G285">
        <f t="shared" si="57"/>
        <v>0</v>
      </c>
      <c r="H285" t="s">
        <v>32</v>
      </c>
      <c r="I285">
        <f t="shared" si="58"/>
        <v>0</v>
      </c>
      <c r="J285">
        <f t="shared" si="65"/>
        <v>12500</v>
      </c>
      <c r="K285" s="15">
        <f t="shared" si="59"/>
        <v>792</v>
      </c>
      <c r="L285" s="15">
        <f t="shared" si="60"/>
        <v>290</v>
      </c>
      <c r="M285">
        <v>14</v>
      </c>
      <c r="N285">
        <v>15</v>
      </c>
      <c r="O285">
        <v>6</v>
      </c>
      <c r="P285">
        <v>8</v>
      </c>
      <c r="Q285" s="9">
        <v>67.388000000000005</v>
      </c>
      <c r="R285">
        <v>4</v>
      </c>
      <c r="T285" s="11">
        <f t="shared" si="61"/>
        <v>20</v>
      </c>
      <c r="U285" s="11">
        <f t="shared" si="62"/>
        <v>21</v>
      </c>
      <c r="V285" t="str">
        <f t="shared" si="63"/>
        <v>OX4 4XP</v>
      </c>
      <c r="W285" t="str">
        <f t="shared" si="64"/>
        <v>WS1 4SA</v>
      </c>
      <c r="X285" s="12">
        <v>8340</v>
      </c>
      <c r="Y285" s="15">
        <f t="shared" si="54"/>
        <v>24</v>
      </c>
    </row>
    <row r="286" spans="1:25" x14ac:dyDescent="0.2">
      <c r="A286" t="s">
        <v>3</v>
      </c>
      <c r="B286" s="1">
        <v>42735</v>
      </c>
      <c r="C286" s="2" t="str">
        <f t="shared" si="55"/>
        <v>Sat</v>
      </c>
      <c r="D286" t="s">
        <v>17</v>
      </c>
      <c r="E286" t="s">
        <v>25</v>
      </c>
      <c r="F286" t="str">
        <f t="shared" si="56"/>
        <v>D</v>
      </c>
      <c r="G286">
        <f t="shared" si="57"/>
        <v>0</v>
      </c>
      <c r="H286" t="s">
        <v>32</v>
      </c>
      <c r="I286">
        <f t="shared" si="58"/>
        <v>0</v>
      </c>
      <c r="J286">
        <f t="shared" si="65"/>
        <v>15314</v>
      </c>
      <c r="K286" s="15">
        <f t="shared" si="59"/>
        <v>1280</v>
      </c>
      <c r="L286" s="15">
        <f t="shared" si="60"/>
        <v>295</v>
      </c>
      <c r="M286">
        <v>7</v>
      </c>
      <c r="N286">
        <v>24</v>
      </c>
      <c r="O286">
        <v>8</v>
      </c>
      <c r="P286">
        <v>1</v>
      </c>
      <c r="Q286" s="9">
        <v>53.54</v>
      </c>
      <c r="R286">
        <v>6</v>
      </c>
      <c r="T286" s="11">
        <f t="shared" si="61"/>
        <v>21</v>
      </c>
      <c r="U286" s="11">
        <f t="shared" si="62"/>
        <v>20</v>
      </c>
      <c r="V286" t="str">
        <f t="shared" si="63"/>
        <v>PE2 8AL</v>
      </c>
      <c r="W286" t="str">
        <f t="shared" si="64"/>
        <v>CV6 6GE</v>
      </c>
      <c r="X286" s="12">
        <v>5866</v>
      </c>
      <c r="Y286" s="15">
        <f t="shared" si="54"/>
        <v>26</v>
      </c>
    </row>
    <row r="287" spans="1:25" x14ac:dyDescent="0.2">
      <c r="A287" t="s">
        <v>3</v>
      </c>
      <c r="B287" s="1">
        <v>42735</v>
      </c>
      <c r="C287" s="2" t="str">
        <f t="shared" si="55"/>
        <v>Sat</v>
      </c>
      <c r="D287" t="s">
        <v>5</v>
      </c>
      <c r="E287" t="s">
        <v>12</v>
      </c>
      <c r="F287" t="str">
        <f t="shared" si="56"/>
        <v>D</v>
      </c>
      <c r="G287">
        <f t="shared" si="57"/>
        <v>0</v>
      </c>
      <c r="H287" t="s">
        <v>32</v>
      </c>
      <c r="I287">
        <f t="shared" si="58"/>
        <v>0</v>
      </c>
      <c r="J287">
        <f t="shared" si="65"/>
        <v>32702</v>
      </c>
      <c r="K287" s="15">
        <f t="shared" si="59"/>
        <v>843</v>
      </c>
      <c r="L287" s="15">
        <f t="shared" si="60"/>
        <v>288</v>
      </c>
      <c r="M287">
        <v>2</v>
      </c>
      <c r="N287">
        <v>13</v>
      </c>
      <c r="O287">
        <v>12</v>
      </c>
      <c r="P287">
        <v>6</v>
      </c>
      <c r="Q287" s="9">
        <v>81.637</v>
      </c>
      <c r="R287">
        <v>8</v>
      </c>
      <c r="T287" s="11">
        <f t="shared" si="61"/>
        <v>20</v>
      </c>
      <c r="U287" s="11">
        <f t="shared" si="62"/>
        <v>20</v>
      </c>
      <c r="V287" t="str">
        <f t="shared" si="63"/>
        <v>S2 4SU</v>
      </c>
      <c r="W287" t="str">
        <f t="shared" si="64"/>
        <v>NN5 5QA</v>
      </c>
      <c r="X287" s="12">
        <v>24194</v>
      </c>
      <c r="Y287" s="15">
        <f t="shared" si="54"/>
        <v>29</v>
      </c>
    </row>
    <row r="288" spans="1:25" x14ac:dyDescent="0.2">
      <c r="A288" t="s">
        <v>3</v>
      </c>
      <c r="B288" s="1">
        <v>42735</v>
      </c>
      <c r="C288" s="2" t="str">
        <f t="shared" si="55"/>
        <v>Sat</v>
      </c>
      <c r="D288" t="s">
        <v>22</v>
      </c>
      <c r="E288" t="s">
        <v>9</v>
      </c>
      <c r="F288" t="str">
        <f t="shared" si="56"/>
        <v>D</v>
      </c>
      <c r="G288">
        <f t="shared" si="57"/>
        <v>0</v>
      </c>
      <c r="H288" t="s">
        <v>32</v>
      </c>
      <c r="I288">
        <f t="shared" si="58"/>
        <v>0</v>
      </c>
      <c r="J288">
        <f t="shared" si="65"/>
        <v>12392</v>
      </c>
      <c r="K288" s="15">
        <f t="shared" si="59"/>
        <v>680</v>
      </c>
      <c r="L288" s="15">
        <f t="shared" si="60"/>
        <v>395</v>
      </c>
      <c r="M288">
        <v>6</v>
      </c>
      <c r="N288">
        <v>12</v>
      </c>
      <c r="O288">
        <v>11</v>
      </c>
      <c r="P288">
        <v>5</v>
      </c>
      <c r="Q288" s="9">
        <v>28.95</v>
      </c>
      <c r="R288">
        <v>9</v>
      </c>
      <c r="T288" s="11">
        <f t="shared" si="61"/>
        <v>25</v>
      </c>
      <c r="U288" s="11">
        <f t="shared" si="62"/>
        <v>22</v>
      </c>
      <c r="V288" t="str">
        <f t="shared" si="63"/>
        <v>SS2 6NQ</v>
      </c>
      <c r="W288" t="str">
        <f t="shared" si="64"/>
        <v>SE7 8BL</v>
      </c>
      <c r="X288" s="12">
        <v>10329</v>
      </c>
      <c r="Y288" s="15">
        <f t="shared" si="54"/>
        <v>25</v>
      </c>
    </row>
    <row r="289" spans="1:25" x14ac:dyDescent="0.2">
      <c r="A289" t="s">
        <v>3</v>
      </c>
      <c r="B289" s="1">
        <v>42737</v>
      </c>
      <c r="C289" s="2" t="str">
        <f t="shared" si="55"/>
        <v>Mon</v>
      </c>
      <c r="D289" t="s">
        <v>27</v>
      </c>
      <c r="E289" t="s">
        <v>10</v>
      </c>
      <c r="F289" t="str">
        <f t="shared" si="56"/>
        <v>E</v>
      </c>
      <c r="G289">
        <f t="shared" si="57"/>
        <v>1</v>
      </c>
      <c r="H289" t="s">
        <v>31</v>
      </c>
      <c r="I289">
        <f t="shared" si="58"/>
        <v>1</v>
      </c>
      <c r="J289">
        <f t="shared" si="65"/>
        <v>4850</v>
      </c>
      <c r="K289" s="15">
        <f t="shared" si="59"/>
        <v>827</v>
      </c>
      <c r="L289" s="15">
        <f t="shared" si="60"/>
        <v>260</v>
      </c>
      <c r="M289">
        <v>11</v>
      </c>
      <c r="N289">
        <v>9</v>
      </c>
      <c r="O289">
        <v>4</v>
      </c>
      <c r="P289">
        <v>10</v>
      </c>
      <c r="Q289" s="9">
        <v>11.39</v>
      </c>
      <c r="R289">
        <v>3</v>
      </c>
      <c r="T289" s="11">
        <f t="shared" si="61"/>
        <v>17</v>
      </c>
      <c r="U289" s="11">
        <f t="shared" si="62"/>
        <v>17</v>
      </c>
      <c r="V289" t="str">
        <f t="shared" si="63"/>
        <v>KT1 3PB</v>
      </c>
      <c r="W289" t="str">
        <f t="shared" si="64"/>
        <v>SE16 3LN</v>
      </c>
      <c r="X289" s="12">
        <v>4742</v>
      </c>
      <c r="Y289" s="15">
        <f t="shared" si="54"/>
        <v>29</v>
      </c>
    </row>
    <row r="290" spans="1:25" x14ac:dyDescent="0.2">
      <c r="A290" t="s">
        <v>3</v>
      </c>
      <c r="B290" s="1">
        <v>42737</v>
      </c>
      <c r="C290" s="2" t="str">
        <f t="shared" si="55"/>
        <v>Mon</v>
      </c>
      <c r="D290" t="s">
        <v>8</v>
      </c>
      <c r="E290" t="s">
        <v>5</v>
      </c>
      <c r="F290" t="str">
        <f t="shared" si="56"/>
        <v>E</v>
      </c>
      <c r="G290">
        <f t="shared" si="57"/>
        <v>1</v>
      </c>
      <c r="H290" t="s">
        <v>31</v>
      </c>
      <c r="I290">
        <f t="shared" si="58"/>
        <v>1</v>
      </c>
      <c r="J290">
        <f t="shared" si="65"/>
        <v>11841</v>
      </c>
      <c r="K290" s="15">
        <f t="shared" si="59"/>
        <v>1622</v>
      </c>
      <c r="L290" s="15">
        <f t="shared" si="60"/>
        <v>275</v>
      </c>
      <c r="M290">
        <v>20</v>
      </c>
      <c r="N290">
        <v>1</v>
      </c>
      <c r="O290">
        <v>2</v>
      </c>
      <c r="P290">
        <v>15</v>
      </c>
      <c r="Q290" s="9">
        <v>36.948</v>
      </c>
      <c r="R290">
        <v>1</v>
      </c>
      <c r="T290" s="11">
        <f t="shared" si="61"/>
        <v>18</v>
      </c>
      <c r="U290" s="11">
        <f t="shared" si="62"/>
        <v>18</v>
      </c>
      <c r="V290" t="str">
        <f t="shared" si="63"/>
        <v>BL9 9HR</v>
      </c>
      <c r="W290" t="str">
        <f t="shared" si="64"/>
        <v>S2 4SU</v>
      </c>
      <c r="X290" s="12">
        <v>6123</v>
      </c>
      <c r="Y290" s="15">
        <f t="shared" si="54"/>
        <v>22</v>
      </c>
    </row>
    <row r="291" spans="1:25" x14ac:dyDescent="0.2">
      <c r="A291" t="s">
        <v>3</v>
      </c>
      <c r="B291" s="1">
        <v>42737</v>
      </c>
      <c r="C291" s="2" t="str">
        <f t="shared" si="55"/>
        <v>Mon</v>
      </c>
      <c r="D291" t="s">
        <v>9</v>
      </c>
      <c r="E291" t="s">
        <v>19</v>
      </c>
      <c r="F291" t="str">
        <f t="shared" si="56"/>
        <v>E</v>
      </c>
      <c r="G291">
        <f t="shared" si="57"/>
        <v>1</v>
      </c>
      <c r="H291" t="s">
        <v>31</v>
      </c>
      <c r="I291">
        <f t="shared" si="58"/>
        <v>1</v>
      </c>
      <c r="J291">
        <f t="shared" si="65"/>
        <v>26875</v>
      </c>
      <c r="K291" s="15">
        <f t="shared" si="59"/>
        <v>1159</v>
      </c>
      <c r="L291" s="15">
        <f t="shared" si="60"/>
        <v>175</v>
      </c>
      <c r="M291">
        <v>12</v>
      </c>
      <c r="N291">
        <v>10</v>
      </c>
      <c r="O291">
        <v>7</v>
      </c>
      <c r="P291">
        <v>9</v>
      </c>
      <c r="Q291" s="9">
        <v>112.877</v>
      </c>
      <c r="R291">
        <v>7</v>
      </c>
      <c r="T291" s="11">
        <f t="shared" si="61"/>
        <v>20</v>
      </c>
      <c r="U291" s="11">
        <f t="shared" si="62"/>
        <v>20</v>
      </c>
      <c r="V291" t="str">
        <f t="shared" si="63"/>
        <v>SE7 8BL</v>
      </c>
      <c r="W291" t="str">
        <f t="shared" si="64"/>
        <v>BS7 0BF</v>
      </c>
      <c r="X291" s="12">
        <v>12252</v>
      </c>
      <c r="Y291" s="15">
        <f t="shared" si="54"/>
        <v>35</v>
      </c>
    </row>
    <row r="292" spans="1:25" x14ac:dyDescent="0.2">
      <c r="A292" t="s">
        <v>3</v>
      </c>
      <c r="B292" s="1">
        <v>42737</v>
      </c>
      <c r="C292" s="2" t="str">
        <f t="shared" si="55"/>
        <v>Mon</v>
      </c>
      <c r="D292" t="s">
        <v>15</v>
      </c>
      <c r="E292" t="s">
        <v>21</v>
      </c>
      <c r="F292" t="str">
        <f t="shared" si="56"/>
        <v>E</v>
      </c>
      <c r="G292">
        <f t="shared" si="57"/>
        <v>1</v>
      </c>
      <c r="H292" t="s">
        <v>31</v>
      </c>
      <c r="I292">
        <f t="shared" si="58"/>
        <v>1</v>
      </c>
      <c r="J292">
        <f t="shared" si="65"/>
        <v>10504</v>
      </c>
      <c r="K292" s="15">
        <f t="shared" si="59"/>
        <v>596</v>
      </c>
      <c r="L292" s="15">
        <f t="shared" si="60"/>
        <v>345</v>
      </c>
      <c r="M292">
        <v>22</v>
      </c>
      <c r="N292">
        <v>18</v>
      </c>
      <c r="O292">
        <v>4</v>
      </c>
      <c r="P292">
        <v>7</v>
      </c>
      <c r="Q292" s="9">
        <v>90.703999999999994</v>
      </c>
      <c r="R292">
        <v>3</v>
      </c>
      <c r="T292" s="11">
        <f t="shared" si="61"/>
        <v>22</v>
      </c>
      <c r="U292" s="11">
        <f t="shared" si="62"/>
        <v>20</v>
      </c>
      <c r="V292" t="str">
        <f t="shared" si="63"/>
        <v>S41 8NZ</v>
      </c>
      <c r="W292" t="str">
        <f t="shared" si="64"/>
        <v>MK1 1ST</v>
      </c>
      <c r="X292" s="12">
        <v>5554</v>
      </c>
      <c r="Y292" s="15">
        <f t="shared" si="54"/>
        <v>26</v>
      </c>
    </row>
    <row r="293" spans="1:25" x14ac:dyDescent="0.2">
      <c r="A293" t="s">
        <v>3</v>
      </c>
      <c r="B293" s="1">
        <v>42737</v>
      </c>
      <c r="C293" s="2" t="str">
        <f t="shared" si="55"/>
        <v>Mon</v>
      </c>
      <c r="D293" t="s">
        <v>25</v>
      </c>
      <c r="E293" t="s">
        <v>4</v>
      </c>
      <c r="F293" t="str">
        <f t="shared" si="56"/>
        <v>E</v>
      </c>
      <c r="G293">
        <f t="shared" si="57"/>
        <v>1</v>
      </c>
      <c r="H293" t="s">
        <v>31</v>
      </c>
      <c r="I293">
        <f t="shared" si="58"/>
        <v>1</v>
      </c>
      <c r="J293">
        <f t="shared" si="65"/>
        <v>32609</v>
      </c>
      <c r="K293" s="15">
        <f t="shared" si="59"/>
        <v>912</v>
      </c>
      <c r="L293" s="15">
        <f t="shared" si="60"/>
        <v>299</v>
      </c>
      <c r="M293">
        <v>23</v>
      </c>
      <c r="N293">
        <v>2</v>
      </c>
      <c r="O293">
        <v>2</v>
      </c>
      <c r="P293">
        <v>10</v>
      </c>
      <c r="Q293" s="9">
        <v>89.435000000000002</v>
      </c>
      <c r="R293">
        <v>1</v>
      </c>
      <c r="T293" s="11">
        <f t="shared" si="61"/>
        <v>22</v>
      </c>
      <c r="U293" s="11">
        <f t="shared" si="62"/>
        <v>22</v>
      </c>
      <c r="V293" t="str">
        <f t="shared" si="63"/>
        <v>CV6 6GE</v>
      </c>
      <c r="W293" t="str">
        <f t="shared" si="64"/>
        <v>BL6 6JW</v>
      </c>
      <c r="X293" s="12">
        <v>8397</v>
      </c>
      <c r="Y293" s="15">
        <f t="shared" si="54"/>
        <v>26</v>
      </c>
    </row>
    <row r="294" spans="1:25" x14ac:dyDescent="0.2">
      <c r="A294" t="s">
        <v>3</v>
      </c>
      <c r="B294" s="1">
        <v>42737</v>
      </c>
      <c r="C294" s="2" t="str">
        <f t="shared" si="55"/>
        <v>Mon</v>
      </c>
      <c r="D294" t="s">
        <v>23</v>
      </c>
      <c r="E294" t="s">
        <v>14</v>
      </c>
      <c r="F294" t="str">
        <f t="shared" si="56"/>
        <v>E</v>
      </c>
      <c r="G294">
        <f t="shared" si="57"/>
        <v>1</v>
      </c>
      <c r="H294" t="s">
        <v>31</v>
      </c>
      <c r="I294">
        <f t="shared" si="58"/>
        <v>1</v>
      </c>
      <c r="J294">
        <f t="shared" si="65"/>
        <v>11582</v>
      </c>
      <c r="K294" s="15">
        <f t="shared" si="59"/>
        <v>1000</v>
      </c>
      <c r="L294" s="15">
        <f t="shared" si="60"/>
        <v>285</v>
      </c>
      <c r="M294">
        <v>16</v>
      </c>
      <c r="N294">
        <v>13</v>
      </c>
      <c r="O294">
        <v>4</v>
      </c>
      <c r="P294">
        <v>8</v>
      </c>
      <c r="Q294" s="9">
        <v>79.55</v>
      </c>
      <c r="R294">
        <v>5</v>
      </c>
      <c r="T294" s="11">
        <f t="shared" si="61"/>
        <v>12</v>
      </c>
      <c r="U294" s="11">
        <f t="shared" si="62"/>
        <v>10</v>
      </c>
      <c r="V294" t="str">
        <f t="shared" si="63"/>
        <v>ME7 4DD</v>
      </c>
      <c r="W294" t="str">
        <f t="shared" si="64"/>
        <v>OX4 4XP</v>
      </c>
      <c r="X294" s="12">
        <v>6414</v>
      </c>
      <c r="Y294" s="15">
        <f t="shared" si="54"/>
        <v>28</v>
      </c>
    </row>
    <row r="295" spans="1:25" x14ac:dyDescent="0.2">
      <c r="A295" t="s">
        <v>3</v>
      </c>
      <c r="B295" s="1">
        <v>42737</v>
      </c>
      <c r="C295" s="2" t="str">
        <f t="shared" si="55"/>
        <v>Mon</v>
      </c>
      <c r="D295" t="s">
        <v>12</v>
      </c>
      <c r="E295" t="s">
        <v>6</v>
      </c>
      <c r="F295" t="str">
        <f t="shared" si="56"/>
        <v>E</v>
      </c>
      <c r="G295">
        <f t="shared" si="57"/>
        <v>1</v>
      </c>
      <c r="H295" t="s">
        <v>31</v>
      </c>
      <c r="I295">
        <f t="shared" si="58"/>
        <v>1</v>
      </c>
      <c r="J295">
        <f t="shared" si="65"/>
        <v>7653</v>
      </c>
      <c r="K295" s="15">
        <f t="shared" si="59"/>
        <v>1437</v>
      </c>
      <c r="L295" s="15">
        <f t="shared" si="60"/>
        <v>249</v>
      </c>
      <c r="M295">
        <v>15</v>
      </c>
      <c r="N295">
        <v>5</v>
      </c>
      <c r="O295">
        <v>6</v>
      </c>
      <c r="P295">
        <v>7</v>
      </c>
      <c r="Q295" s="9">
        <v>113.80200000000001</v>
      </c>
      <c r="R295">
        <v>4</v>
      </c>
      <c r="T295" s="11">
        <f t="shared" si="61"/>
        <v>24</v>
      </c>
      <c r="U295" s="11">
        <f t="shared" si="62"/>
        <v>24</v>
      </c>
      <c r="V295" t="str">
        <f t="shared" si="63"/>
        <v>NN5 5QA</v>
      </c>
      <c r="W295" t="str">
        <f t="shared" si="64"/>
        <v>BD8 7DY</v>
      </c>
      <c r="X295" s="12">
        <v>6931</v>
      </c>
      <c r="Y295" s="15">
        <f t="shared" si="54"/>
        <v>24</v>
      </c>
    </row>
    <row r="296" spans="1:25" x14ac:dyDescent="0.2">
      <c r="A296" t="s">
        <v>3</v>
      </c>
      <c r="B296" s="1">
        <v>42737</v>
      </c>
      <c r="C296" s="2" t="str">
        <f t="shared" si="55"/>
        <v>Mon</v>
      </c>
      <c r="D296" t="s">
        <v>11</v>
      </c>
      <c r="E296" t="s">
        <v>7</v>
      </c>
      <c r="F296" t="str">
        <f t="shared" si="56"/>
        <v>E</v>
      </c>
      <c r="G296">
        <f t="shared" si="57"/>
        <v>1</v>
      </c>
      <c r="H296" t="s">
        <v>31</v>
      </c>
      <c r="I296">
        <f t="shared" si="58"/>
        <v>1</v>
      </c>
      <c r="J296">
        <f t="shared" si="65"/>
        <v>13559</v>
      </c>
      <c r="K296" s="15">
        <f t="shared" si="59"/>
        <v>697</v>
      </c>
      <c r="L296" s="15">
        <f t="shared" si="60"/>
        <v>300</v>
      </c>
      <c r="M296">
        <v>21</v>
      </c>
      <c r="N296">
        <v>17</v>
      </c>
      <c r="O296">
        <v>2</v>
      </c>
      <c r="P296">
        <v>4</v>
      </c>
      <c r="Q296" s="9">
        <v>34.957999999999998</v>
      </c>
      <c r="R296">
        <v>4</v>
      </c>
      <c r="T296" s="11">
        <f t="shared" si="61"/>
        <v>22</v>
      </c>
      <c r="U296" s="11">
        <f t="shared" si="62"/>
        <v>24</v>
      </c>
      <c r="V296" t="str">
        <f t="shared" si="63"/>
        <v>OL1 2PA</v>
      </c>
      <c r="W296" t="str">
        <f t="shared" si="64"/>
        <v>ST6 1AW</v>
      </c>
      <c r="X296" s="12">
        <v>3451</v>
      </c>
      <c r="Y296" s="15">
        <f t="shared" si="54"/>
        <v>24</v>
      </c>
    </row>
    <row r="297" spans="1:25" x14ac:dyDescent="0.2">
      <c r="A297" t="s">
        <v>3</v>
      </c>
      <c r="B297" s="1">
        <v>42737</v>
      </c>
      <c r="C297" s="2" t="str">
        <f t="shared" si="55"/>
        <v>Mon</v>
      </c>
      <c r="D297" t="s">
        <v>18</v>
      </c>
      <c r="E297" t="s">
        <v>17</v>
      </c>
      <c r="F297" t="str">
        <f t="shared" si="56"/>
        <v>E</v>
      </c>
      <c r="G297">
        <f t="shared" si="57"/>
        <v>1</v>
      </c>
      <c r="H297" t="s">
        <v>31</v>
      </c>
      <c r="I297">
        <f t="shared" si="58"/>
        <v>1</v>
      </c>
      <c r="J297">
        <f t="shared" si="65"/>
        <v>9183</v>
      </c>
      <c r="K297" s="15">
        <f t="shared" si="59"/>
        <v>598</v>
      </c>
      <c r="L297" s="15">
        <f t="shared" si="60"/>
        <v>288</v>
      </c>
      <c r="M297">
        <v>3</v>
      </c>
      <c r="N297">
        <v>7</v>
      </c>
      <c r="O297">
        <v>5</v>
      </c>
      <c r="P297">
        <v>9</v>
      </c>
      <c r="Q297" s="9">
        <v>73.146000000000001</v>
      </c>
      <c r="R297">
        <v>3</v>
      </c>
      <c r="T297" s="11">
        <f t="shared" si="61"/>
        <v>18</v>
      </c>
      <c r="U297" s="11">
        <f t="shared" si="62"/>
        <v>22</v>
      </c>
      <c r="V297" t="str">
        <f t="shared" si="63"/>
        <v>DN15 8TD</v>
      </c>
      <c r="W297" t="str">
        <f t="shared" si="64"/>
        <v>PE2 8AL</v>
      </c>
      <c r="X297" s="12">
        <v>4855</v>
      </c>
      <c r="Y297" s="15">
        <f t="shared" si="54"/>
        <v>23</v>
      </c>
    </row>
    <row r="298" spans="1:25" x14ac:dyDescent="0.2">
      <c r="A298" t="s">
        <v>3</v>
      </c>
      <c r="B298" s="1">
        <v>42737</v>
      </c>
      <c r="C298" s="2" t="str">
        <f t="shared" si="55"/>
        <v>Mon</v>
      </c>
      <c r="D298" t="s">
        <v>20</v>
      </c>
      <c r="E298" t="s">
        <v>13</v>
      </c>
      <c r="F298" t="str">
        <f t="shared" si="56"/>
        <v>E</v>
      </c>
      <c r="G298">
        <f t="shared" si="57"/>
        <v>1</v>
      </c>
      <c r="H298" t="s">
        <v>31</v>
      </c>
      <c r="I298">
        <f t="shared" si="58"/>
        <v>1</v>
      </c>
      <c r="J298">
        <f t="shared" si="65"/>
        <v>9875</v>
      </c>
      <c r="K298" s="15">
        <f t="shared" si="59"/>
        <v>210</v>
      </c>
      <c r="L298" s="15">
        <f t="shared" si="60"/>
        <v>285</v>
      </c>
      <c r="M298">
        <v>22</v>
      </c>
      <c r="N298">
        <v>8</v>
      </c>
      <c r="O298">
        <v>6</v>
      </c>
      <c r="P298">
        <v>11</v>
      </c>
      <c r="Q298" s="9">
        <v>85.715999999999994</v>
      </c>
      <c r="R298">
        <v>1</v>
      </c>
      <c r="T298" s="11">
        <f t="shared" si="61"/>
        <v>20</v>
      </c>
      <c r="U298" s="11">
        <f t="shared" si="62"/>
        <v>20</v>
      </c>
      <c r="V298" t="str">
        <f t="shared" si="63"/>
        <v>SY2 6ST</v>
      </c>
      <c r="W298" t="str">
        <f t="shared" si="64"/>
        <v>FY7 6TX</v>
      </c>
      <c r="X298" s="12">
        <v>5080</v>
      </c>
      <c r="Y298" s="15">
        <f t="shared" si="54"/>
        <v>22</v>
      </c>
    </row>
    <row r="299" spans="1:25" x14ac:dyDescent="0.2">
      <c r="A299" t="s">
        <v>3</v>
      </c>
      <c r="B299" s="1">
        <v>42737</v>
      </c>
      <c r="C299" s="2" t="str">
        <f t="shared" si="55"/>
        <v>Mon</v>
      </c>
      <c r="D299" t="s">
        <v>24</v>
      </c>
      <c r="E299" t="s">
        <v>22</v>
      </c>
      <c r="F299" t="str">
        <f t="shared" si="56"/>
        <v>E</v>
      </c>
      <c r="G299">
        <f t="shared" si="57"/>
        <v>1</v>
      </c>
      <c r="H299" t="s">
        <v>31</v>
      </c>
      <c r="I299">
        <f t="shared" si="58"/>
        <v>1</v>
      </c>
      <c r="J299">
        <f t="shared" si="65"/>
        <v>15728</v>
      </c>
      <c r="K299" s="15">
        <f t="shared" si="59"/>
        <v>635</v>
      </c>
      <c r="L299" s="15">
        <f t="shared" si="60"/>
        <v>345</v>
      </c>
      <c r="M299">
        <v>19</v>
      </c>
      <c r="N299">
        <v>6</v>
      </c>
      <c r="O299">
        <v>2</v>
      </c>
      <c r="P299">
        <v>11</v>
      </c>
      <c r="Q299" s="9">
        <v>106.31100000000001</v>
      </c>
      <c r="R299">
        <v>1</v>
      </c>
      <c r="T299" s="11">
        <f t="shared" si="61"/>
        <v>19</v>
      </c>
      <c r="U299" s="11">
        <f t="shared" si="62"/>
        <v>19</v>
      </c>
      <c r="V299" t="str">
        <f t="shared" si="63"/>
        <v>SN1 2ED</v>
      </c>
      <c r="W299" t="str">
        <f t="shared" si="64"/>
        <v>SS2 6NQ</v>
      </c>
      <c r="X299" s="12">
        <v>7102</v>
      </c>
      <c r="Y299" s="15">
        <f t="shared" si="54"/>
        <v>25</v>
      </c>
    </row>
    <row r="300" spans="1:25" x14ac:dyDescent="0.2">
      <c r="A300" t="s">
        <v>3</v>
      </c>
      <c r="B300" s="1">
        <v>42737</v>
      </c>
      <c r="C300" s="2" t="str">
        <f t="shared" si="55"/>
        <v>Mon</v>
      </c>
      <c r="D300" t="s">
        <v>26</v>
      </c>
      <c r="E300" t="s">
        <v>16</v>
      </c>
      <c r="F300" t="str">
        <f t="shared" si="56"/>
        <v>E</v>
      </c>
      <c r="G300">
        <f t="shared" si="57"/>
        <v>1</v>
      </c>
      <c r="H300" t="s">
        <v>31</v>
      </c>
      <c r="I300">
        <f t="shared" si="58"/>
        <v>1</v>
      </c>
      <c r="J300">
        <f t="shared" si="65"/>
        <v>11300</v>
      </c>
      <c r="K300" s="15">
        <f t="shared" si="59"/>
        <v>497</v>
      </c>
      <c r="L300" s="15">
        <f t="shared" si="60"/>
        <v>253</v>
      </c>
      <c r="M300">
        <v>14</v>
      </c>
      <c r="N300">
        <v>4</v>
      </c>
      <c r="O300">
        <v>5</v>
      </c>
      <c r="P300">
        <v>15</v>
      </c>
      <c r="Q300" s="9">
        <v>73.299000000000007</v>
      </c>
      <c r="R300">
        <v>1</v>
      </c>
      <c r="T300" s="11">
        <f t="shared" si="61"/>
        <v>20</v>
      </c>
      <c r="U300" s="11">
        <f t="shared" si="62"/>
        <v>20</v>
      </c>
      <c r="V300" t="str">
        <f t="shared" si="63"/>
        <v>WS1 4SA</v>
      </c>
      <c r="W300" t="str">
        <f t="shared" si="64"/>
        <v>OL11 5DR</v>
      </c>
      <c r="X300" s="12">
        <v>4667</v>
      </c>
      <c r="Y300" s="15">
        <f t="shared" si="54"/>
        <v>25.5</v>
      </c>
    </row>
    <row r="301" spans="1:25" x14ac:dyDescent="0.2">
      <c r="A301" t="s">
        <v>3</v>
      </c>
      <c r="B301" s="1">
        <v>42742</v>
      </c>
      <c r="C301" s="2" t="str">
        <f t="shared" si="55"/>
        <v>Sat</v>
      </c>
      <c r="D301" t="s">
        <v>6</v>
      </c>
      <c r="E301" t="s">
        <v>15</v>
      </c>
      <c r="F301" t="str">
        <f t="shared" si="56"/>
        <v>D</v>
      </c>
      <c r="G301">
        <f t="shared" si="57"/>
        <v>0</v>
      </c>
      <c r="H301" t="s">
        <v>32</v>
      </c>
      <c r="I301">
        <f t="shared" si="58"/>
        <v>0</v>
      </c>
      <c r="J301">
        <f t="shared" si="65"/>
        <v>25136</v>
      </c>
      <c r="K301" s="15">
        <f t="shared" si="59"/>
        <v>583</v>
      </c>
      <c r="L301" s="15">
        <f t="shared" si="60"/>
        <v>149</v>
      </c>
      <c r="M301">
        <v>5</v>
      </c>
      <c r="N301">
        <v>21</v>
      </c>
      <c r="O301">
        <v>9</v>
      </c>
      <c r="P301">
        <v>4</v>
      </c>
      <c r="Q301" s="9">
        <v>40.448999999999998</v>
      </c>
      <c r="R301">
        <v>7</v>
      </c>
      <c r="S301" t="s">
        <v>72</v>
      </c>
      <c r="T301" s="11">
        <f t="shared" si="61"/>
        <v>25</v>
      </c>
      <c r="U301" s="11">
        <f t="shared" si="62"/>
        <v>20</v>
      </c>
      <c r="V301" t="str">
        <f t="shared" si="63"/>
        <v>BD8 7DY</v>
      </c>
      <c r="W301" t="str">
        <f t="shared" si="64"/>
        <v>S41 8NZ</v>
      </c>
      <c r="X301" s="12">
        <v>17416</v>
      </c>
      <c r="Y301" s="15">
        <f t="shared" si="54"/>
        <v>25</v>
      </c>
    </row>
    <row r="302" spans="1:25" x14ac:dyDescent="0.2">
      <c r="A302" t="s">
        <v>3</v>
      </c>
      <c r="B302" s="1">
        <v>42742</v>
      </c>
      <c r="C302" s="2" t="str">
        <f t="shared" si="55"/>
        <v>Sat</v>
      </c>
      <c r="D302" t="s">
        <v>19</v>
      </c>
      <c r="E302" t="s">
        <v>12</v>
      </c>
      <c r="F302" t="str">
        <f t="shared" si="56"/>
        <v>D</v>
      </c>
      <c r="G302">
        <f t="shared" si="57"/>
        <v>0</v>
      </c>
      <c r="H302" t="s">
        <v>32</v>
      </c>
      <c r="I302">
        <f t="shared" si="58"/>
        <v>0</v>
      </c>
      <c r="J302">
        <f t="shared" si="65"/>
        <v>12000</v>
      </c>
      <c r="K302" s="15">
        <f t="shared" si="59"/>
        <v>843</v>
      </c>
      <c r="L302" s="15">
        <f t="shared" si="60"/>
        <v>260</v>
      </c>
      <c r="M302">
        <v>10</v>
      </c>
      <c r="N302">
        <v>16</v>
      </c>
      <c r="O302">
        <v>9</v>
      </c>
      <c r="P302">
        <v>3</v>
      </c>
      <c r="Q302" s="9">
        <v>87.522999999999996</v>
      </c>
      <c r="R302">
        <v>9</v>
      </c>
      <c r="T302" s="11">
        <f t="shared" si="61"/>
        <v>18</v>
      </c>
      <c r="U302" s="11">
        <f t="shared" si="62"/>
        <v>16</v>
      </c>
      <c r="V302" t="str">
        <f t="shared" si="63"/>
        <v>BS7 0BF</v>
      </c>
      <c r="W302" t="str">
        <f t="shared" si="64"/>
        <v>NN5 5QA</v>
      </c>
      <c r="X302" s="12">
        <v>8424</v>
      </c>
      <c r="Y302" s="15">
        <f t="shared" si="54"/>
        <v>26</v>
      </c>
    </row>
    <row r="303" spans="1:25" x14ac:dyDescent="0.2">
      <c r="A303" t="s">
        <v>3</v>
      </c>
      <c r="B303" s="1">
        <v>42742</v>
      </c>
      <c r="C303" s="2" t="str">
        <f t="shared" si="55"/>
        <v>Sat</v>
      </c>
      <c r="D303" t="s">
        <v>18</v>
      </c>
      <c r="E303" t="s">
        <v>8</v>
      </c>
      <c r="F303" t="str">
        <f t="shared" si="56"/>
        <v>D</v>
      </c>
      <c r="G303">
        <f t="shared" si="57"/>
        <v>0</v>
      </c>
      <c r="H303" t="s">
        <v>32</v>
      </c>
      <c r="I303">
        <f t="shared" si="58"/>
        <v>0</v>
      </c>
      <c r="J303">
        <f t="shared" si="65"/>
        <v>9183</v>
      </c>
      <c r="K303" s="15">
        <f t="shared" si="59"/>
        <v>608</v>
      </c>
      <c r="L303" s="15">
        <f t="shared" si="60"/>
        <v>288</v>
      </c>
      <c r="M303">
        <v>3</v>
      </c>
      <c r="N303">
        <v>20</v>
      </c>
      <c r="O303">
        <v>8</v>
      </c>
      <c r="P303">
        <v>2</v>
      </c>
      <c r="Q303" s="9">
        <v>65.659000000000006</v>
      </c>
      <c r="R303">
        <v>6</v>
      </c>
      <c r="S303" t="s">
        <v>72</v>
      </c>
      <c r="T303" s="11">
        <f t="shared" si="61"/>
        <v>18</v>
      </c>
      <c r="U303" s="11">
        <f t="shared" si="62"/>
        <v>22</v>
      </c>
      <c r="V303" t="str">
        <f t="shared" si="63"/>
        <v>DN15 8TD</v>
      </c>
      <c r="W303" t="str">
        <f t="shared" si="64"/>
        <v>BL9 9HR</v>
      </c>
      <c r="X303" s="12">
        <v>5173</v>
      </c>
      <c r="Y303" s="15">
        <f t="shared" si="54"/>
        <v>23</v>
      </c>
    </row>
    <row r="304" spans="1:25" x14ac:dyDescent="0.2">
      <c r="A304" t="s">
        <v>3</v>
      </c>
      <c r="B304" s="1">
        <v>42742</v>
      </c>
      <c r="C304" s="2" t="str">
        <f t="shared" si="55"/>
        <v>Sat</v>
      </c>
      <c r="D304" t="s">
        <v>22</v>
      </c>
      <c r="E304" t="s">
        <v>5</v>
      </c>
      <c r="F304" t="str">
        <f t="shared" si="56"/>
        <v>D</v>
      </c>
      <c r="G304">
        <f t="shared" si="57"/>
        <v>0</v>
      </c>
      <c r="H304" t="s">
        <v>32</v>
      </c>
      <c r="I304">
        <f t="shared" si="58"/>
        <v>0</v>
      </c>
      <c r="J304">
        <f t="shared" si="65"/>
        <v>12392</v>
      </c>
      <c r="K304" s="15">
        <f t="shared" si="59"/>
        <v>1622</v>
      </c>
      <c r="L304" s="15">
        <f t="shared" si="60"/>
        <v>395</v>
      </c>
      <c r="M304">
        <v>6</v>
      </c>
      <c r="N304">
        <v>1</v>
      </c>
      <c r="O304">
        <v>8</v>
      </c>
      <c r="P304">
        <v>15</v>
      </c>
      <c r="Q304" s="9">
        <v>155.68799999999999</v>
      </c>
      <c r="R304">
        <v>9</v>
      </c>
      <c r="T304" s="11">
        <f t="shared" si="61"/>
        <v>25</v>
      </c>
      <c r="U304" s="11">
        <f t="shared" si="62"/>
        <v>22</v>
      </c>
      <c r="V304" t="str">
        <f t="shared" si="63"/>
        <v>SS2 6NQ</v>
      </c>
      <c r="W304" t="str">
        <f t="shared" si="64"/>
        <v>S2 4SU</v>
      </c>
      <c r="X304" s="12">
        <v>7702</v>
      </c>
      <c r="Y304" s="15">
        <f t="shared" si="54"/>
        <v>25</v>
      </c>
    </row>
    <row r="305" spans="1:25" x14ac:dyDescent="0.2">
      <c r="A305" t="s">
        <v>3</v>
      </c>
      <c r="B305" s="1">
        <v>42742</v>
      </c>
      <c r="C305" s="2" t="str">
        <f t="shared" si="55"/>
        <v>Sat</v>
      </c>
      <c r="D305" t="s">
        <v>24</v>
      </c>
      <c r="E305" t="s">
        <v>20</v>
      </c>
      <c r="F305" t="str">
        <f t="shared" si="56"/>
        <v>D</v>
      </c>
      <c r="G305">
        <f t="shared" si="57"/>
        <v>0</v>
      </c>
      <c r="H305" t="s">
        <v>32</v>
      </c>
      <c r="I305">
        <f t="shared" si="58"/>
        <v>0</v>
      </c>
      <c r="J305">
        <f t="shared" si="65"/>
        <v>15728</v>
      </c>
      <c r="K305" s="15">
        <f t="shared" si="59"/>
        <v>438</v>
      </c>
      <c r="L305" s="15">
        <f t="shared" si="60"/>
        <v>345</v>
      </c>
      <c r="M305">
        <v>19</v>
      </c>
      <c r="N305">
        <v>24</v>
      </c>
      <c r="O305">
        <v>3</v>
      </c>
      <c r="P305">
        <v>4</v>
      </c>
      <c r="Q305" s="9">
        <v>88.135000000000005</v>
      </c>
      <c r="R305">
        <v>8</v>
      </c>
      <c r="S305" t="s">
        <v>69</v>
      </c>
      <c r="T305" s="11">
        <f t="shared" si="61"/>
        <v>19</v>
      </c>
      <c r="U305" s="11">
        <f t="shared" si="62"/>
        <v>19</v>
      </c>
      <c r="V305" t="str">
        <f t="shared" si="63"/>
        <v>SN1 2ED</v>
      </c>
      <c r="W305" t="str">
        <f t="shared" si="64"/>
        <v>SY2 6ST</v>
      </c>
      <c r="X305" s="12">
        <v>6137</v>
      </c>
      <c r="Y305" s="15">
        <f t="shared" si="54"/>
        <v>25</v>
      </c>
    </row>
    <row r="306" spans="1:25" x14ac:dyDescent="0.2">
      <c r="A306" t="s">
        <v>3</v>
      </c>
      <c r="B306" s="1">
        <v>42749</v>
      </c>
      <c r="C306" s="2" t="str">
        <f t="shared" si="55"/>
        <v>Sat</v>
      </c>
      <c r="D306" t="s">
        <v>27</v>
      </c>
      <c r="E306" t="s">
        <v>14</v>
      </c>
      <c r="F306" t="str">
        <f t="shared" si="56"/>
        <v>D</v>
      </c>
      <c r="G306">
        <f t="shared" si="57"/>
        <v>0</v>
      </c>
      <c r="H306" t="s">
        <v>32</v>
      </c>
      <c r="I306">
        <f t="shared" si="58"/>
        <v>0</v>
      </c>
      <c r="J306">
        <f t="shared" si="65"/>
        <v>4850</v>
      </c>
      <c r="K306" s="15">
        <f t="shared" si="59"/>
        <v>1000</v>
      </c>
      <c r="L306" s="15">
        <f t="shared" si="60"/>
        <v>260</v>
      </c>
      <c r="M306">
        <v>12</v>
      </c>
      <c r="N306">
        <v>13</v>
      </c>
      <c r="O306">
        <v>7</v>
      </c>
      <c r="P306">
        <v>7</v>
      </c>
      <c r="Q306" s="9">
        <v>45.392000000000003</v>
      </c>
      <c r="R306">
        <v>4</v>
      </c>
      <c r="T306" s="11">
        <f t="shared" si="61"/>
        <v>17</v>
      </c>
      <c r="U306" s="11">
        <f t="shared" si="62"/>
        <v>17</v>
      </c>
      <c r="V306" t="str">
        <f t="shared" si="63"/>
        <v>KT1 3PB</v>
      </c>
      <c r="W306" t="str">
        <f t="shared" si="64"/>
        <v>OX4 4XP</v>
      </c>
      <c r="X306" s="12">
        <v>4808</v>
      </c>
      <c r="Y306" s="15">
        <f t="shared" si="54"/>
        <v>29</v>
      </c>
    </row>
    <row r="307" spans="1:25" x14ac:dyDescent="0.2">
      <c r="A307" t="s">
        <v>3</v>
      </c>
      <c r="B307" s="1">
        <v>42749</v>
      </c>
      <c r="C307" s="2" t="str">
        <f t="shared" si="55"/>
        <v>Sat</v>
      </c>
      <c r="D307" t="s">
        <v>4</v>
      </c>
      <c r="E307" t="s">
        <v>24</v>
      </c>
      <c r="F307" t="str">
        <f t="shared" si="56"/>
        <v>D</v>
      </c>
      <c r="G307">
        <f t="shared" si="57"/>
        <v>0</v>
      </c>
      <c r="H307" t="s">
        <v>32</v>
      </c>
      <c r="I307">
        <f t="shared" si="58"/>
        <v>0</v>
      </c>
      <c r="J307">
        <f t="shared" si="65"/>
        <v>28723</v>
      </c>
      <c r="K307" s="15">
        <f t="shared" si="59"/>
        <v>503</v>
      </c>
      <c r="L307" s="15">
        <f t="shared" si="60"/>
        <v>280</v>
      </c>
      <c r="M307">
        <v>2</v>
      </c>
      <c r="N307">
        <v>19</v>
      </c>
      <c r="O307">
        <v>7</v>
      </c>
      <c r="P307">
        <v>5</v>
      </c>
      <c r="Q307" s="9">
        <v>143.077</v>
      </c>
      <c r="R307">
        <v>3</v>
      </c>
      <c r="S307" t="s">
        <v>68</v>
      </c>
      <c r="T307" s="11">
        <f t="shared" si="61"/>
        <v>15</v>
      </c>
      <c r="U307" s="11">
        <f t="shared" si="62"/>
        <v>15</v>
      </c>
      <c r="V307" t="str">
        <f t="shared" si="63"/>
        <v>BL6 6JW</v>
      </c>
      <c r="W307" t="str">
        <f t="shared" si="64"/>
        <v>SN1 2ED</v>
      </c>
      <c r="X307" s="12">
        <v>13955</v>
      </c>
      <c r="Y307" s="15">
        <f t="shared" si="54"/>
        <v>30</v>
      </c>
    </row>
    <row r="308" spans="1:25" x14ac:dyDescent="0.2">
      <c r="A308" t="s">
        <v>3</v>
      </c>
      <c r="B308" s="1">
        <v>42749</v>
      </c>
      <c r="C308" s="2" t="str">
        <f t="shared" si="55"/>
        <v>Sat</v>
      </c>
      <c r="D308" t="s">
        <v>8</v>
      </c>
      <c r="E308" t="s">
        <v>17</v>
      </c>
      <c r="F308" t="str">
        <f t="shared" si="56"/>
        <v>D</v>
      </c>
      <c r="G308">
        <f t="shared" si="57"/>
        <v>0</v>
      </c>
      <c r="H308" t="s">
        <v>32</v>
      </c>
      <c r="I308">
        <f t="shared" si="58"/>
        <v>0</v>
      </c>
      <c r="J308">
        <f t="shared" si="65"/>
        <v>11841</v>
      </c>
      <c r="K308" s="15">
        <f t="shared" si="59"/>
        <v>598</v>
      </c>
      <c r="L308" s="15">
        <f t="shared" si="60"/>
        <v>275</v>
      </c>
      <c r="M308">
        <v>23</v>
      </c>
      <c r="N308">
        <v>10</v>
      </c>
      <c r="O308">
        <v>5</v>
      </c>
      <c r="P308">
        <v>6</v>
      </c>
      <c r="Q308" s="9">
        <v>110.566</v>
      </c>
      <c r="R308">
        <v>3</v>
      </c>
      <c r="S308" t="s">
        <v>68</v>
      </c>
      <c r="T308" s="11">
        <f t="shared" si="61"/>
        <v>18</v>
      </c>
      <c r="U308" s="11">
        <f t="shared" si="62"/>
        <v>18</v>
      </c>
      <c r="V308" t="str">
        <f t="shared" si="63"/>
        <v>BL9 9HR</v>
      </c>
      <c r="W308" t="str">
        <f t="shared" si="64"/>
        <v>PE2 8AL</v>
      </c>
      <c r="X308" s="12">
        <v>2820</v>
      </c>
      <c r="Y308" s="15">
        <f t="shared" si="54"/>
        <v>22</v>
      </c>
    </row>
    <row r="309" spans="1:25" x14ac:dyDescent="0.2">
      <c r="A309" t="s">
        <v>3</v>
      </c>
      <c r="B309" s="1">
        <v>42749</v>
      </c>
      <c r="C309" s="2" t="str">
        <f t="shared" si="55"/>
        <v>Sat</v>
      </c>
      <c r="D309" t="s">
        <v>9</v>
      </c>
      <c r="E309" t="s">
        <v>10</v>
      </c>
      <c r="F309" t="str">
        <f t="shared" si="56"/>
        <v>D</v>
      </c>
      <c r="G309">
        <f t="shared" si="57"/>
        <v>0</v>
      </c>
      <c r="H309" t="s">
        <v>32</v>
      </c>
      <c r="I309">
        <f t="shared" si="58"/>
        <v>0</v>
      </c>
      <c r="J309">
        <f t="shared" si="65"/>
        <v>26875</v>
      </c>
      <c r="K309" s="15">
        <f t="shared" si="59"/>
        <v>827</v>
      </c>
      <c r="L309" s="15">
        <f t="shared" si="60"/>
        <v>175</v>
      </c>
      <c r="M309">
        <v>11</v>
      </c>
      <c r="N309">
        <v>10</v>
      </c>
      <c r="O309">
        <v>8</v>
      </c>
      <c r="P309">
        <v>11</v>
      </c>
      <c r="Q309" s="9">
        <v>3.7989999999999999</v>
      </c>
      <c r="R309">
        <v>10</v>
      </c>
      <c r="T309" s="11">
        <f t="shared" si="61"/>
        <v>20</v>
      </c>
      <c r="U309" s="11">
        <f t="shared" si="62"/>
        <v>20</v>
      </c>
      <c r="V309" t="str">
        <f t="shared" si="63"/>
        <v>SE7 8BL</v>
      </c>
      <c r="W309" t="str">
        <f t="shared" si="64"/>
        <v>SE16 3LN</v>
      </c>
      <c r="X309" s="12">
        <v>15315</v>
      </c>
      <c r="Y309" s="15">
        <f t="shared" si="54"/>
        <v>35</v>
      </c>
    </row>
    <row r="310" spans="1:25" x14ac:dyDescent="0.2">
      <c r="A310" t="s">
        <v>3</v>
      </c>
      <c r="B310" s="1">
        <v>42749</v>
      </c>
      <c r="C310" s="2" t="str">
        <f t="shared" si="55"/>
        <v>Sat</v>
      </c>
      <c r="D310" t="s">
        <v>15</v>
      </c>
      <c r="E310" t="s">
        <v>25</v>
      </c>
      <c r="F310" t="str">
        <f t="shared" si="56"/>
        <v>D</v>
      </c>
      <c r="G310">
        <f t="shared" si="57"/>
        <v>0</v>
      </c>
      <c r="H310" t="s">
        <v>32</v>
      </c>
      <c r="I310">
        <f t="shared" si="58"/>
        <v>0</v>
      </c>
      <c r="J310">
        <f t="shared" si="65"/>
        <v>10504</v>
      </c>
      <c r="K310" s="15">
        <f t="shared" si="59"/>
        <v>1280</v>
      </c>
      <c r="L310" s="15">
        <f t="shared" si="60"/>
        <v>345</v>
      </c>
      <c r="M310">
        <v>22</v>
      </c>
      <c r="N310">
        <v>23</v>
      </c>
      <c r="O310">
        <v>4</v>
      </c>
      <c r="P310">
        <v>2</v>
      </c>
      <c r="Q310" s="9">
        <v>55.79</v>
      </c>
      <c r="R310">
        <v>4</v>
      </c>
      <c r="T310" s="11">
        <f t="shared" si="61"/>
        <v>22</v>
      </c>
      <c r="U310" s="11">
        <f t="shared" si="62"/>
        <v>20</v>
      </c>
      <c r="V310" t="str">
        <f t="shared" si="63"/>
        <v>S41 8NZ</v>
      </c>
      <c r="W310" t="str">
        <f t="shared" si="64"/>
        <v>CV6 6GE</v>
      </c>
      <c r="X310" s="12">
        <v>5896</v>
      </c>
      <c r="Y310" s="15">
        <f t="shared" si="54"/>
        <v>26</v>
      </c>
    </row>
    <row r="311" spans="1:25" x14ac:dyDescent="0.2">
      <c r="A311" t="s">
        <v>3</v>
      </c>
      <c r="B311" s="1">
        <v>42749</v>
      </c>
      <c r="C311" s="2" t="str">
        <f t="shared" si="55"/>
        <v>Sat</v>
      </c>
      <c r="D311" t="s">
        <v>13</v>
      </c>
      <c r="E311" t="s">
        <v>19</v>
      </c>
      <c r="F311" t="str">
        <f t="shared" si="56"/>
        <v>D</v>
      </c>
      <c r="G311">
        <f t="shared" si="57"/>
        <v>0</v>
      </c>
      <c r="H311" t="s">
        <v>32</v>
      </c>
      <c r="I311">
        <f t="shared" si="58"/>
        <v>0</v>
      </c>
      <c r="J311">
        <f t="shared" si="65"/>
        <v>5327</v>
      </c>
      <c r="K311" s="15">
        <f t="shared" si="59"/>
        <v>1159</v>
      </c>
      <c r="L311" s="15">
        <f t="shared" si="60"/>
        <v>210</v>
      </c>
      <c r="M311">
        <v>6</v>
      </c>
      <c r="N311">
        <v>8</v>
      </c>
      <c r="O311">
        <v>11</v>
      </c>
      <c r="P311">
        <v>9</v>
      </c>
      <c r="Q311" s="9">
        <v>169.154</v>
      </c>
      <c r="R311">
        <v>4</v>
      </c>
      <c r="S311" t="s">
        <v>68</v>
      </c>
      <c r="T311" s="11">
        <f t="shared" si="61"/>
        <v>21.5</v>
      </c>
      <c r="U311" s="11">
        <f t="shared" si="62"/>
        <v>21.5</v>
      </c>
      <c r="V311" t="str">
        <f t="shared" si="63"/>
        <v>FY7 6TX</v>
      </c>
      <c r="W311" t="str">
        <f t="shared" si="64"/>
        <v>BS7 0BF</v>
      </c>
      <c r="X311" s="12">
        <v>3728</v>
      </c>
      <c r="Y311" s="15">
        <f t="shared" si="54"/>
        <v>23.5</v>
      </c>
    </row>
    <row r="312" spans="1:25" x14ac:dyDescent="0.2">
      <c r="A312" t="s">
        <v>3</v>
      </c>
      <c r="B312" s="1">
        <v>42749</v>
      </c>
      <c r="C312" s="2" t="str">
        <f t="shared" si="55"/>
        <v>Sat</v>
      </c>
      <c r="D312" t="s">
        <v>12</v>
      </c>
      <c r="E312" t="s">
        <v>18</v>
      </c>
      <c r="F312" t="str">
        <f t="shared" si="56"/>
        <v>D</v>
      </c>
      <c r="G312">
        <f t="shared" si="57"/>
        <v>0</v>
      </c>
      <c r="H312" t="s">
        <v>32</v>
      </c>
      <c r="I312">
        <f t="shared" si="58"/>
        <v>0</v>
      </c>
      <c r="J312">
        <f t="shared" si="65"/>
        <v>7653</v>
      </c>
      <c r="K312" s="15">
        <f t="shared" si="59"/>
        <v>508</v>
      </c>
      <c r="L312" s="15">
        <f t="shared" si="60"/>
        <v>249</v>
      </c>
      <c r="M312">
        <v>16</v>
      </c>
      <c r="N312">
        <v>3</v>
      </c>
      <c r="O312">
        <v>3</v>
      </c>
      <c r="P312">
        <v>8</v>
      </c>
      <c r="Q312" s="9">
        <v>93.998000000000005</v>
      </c>
      <c r="R312">
        <v>4</v>
      </c>
      <c r="T312" s="11">
        <f t="shared" si="61"/>
        <v>24</v>
      </c>
      <c r="U312" s="11">
        <f t="shared" si="62"/>
        <v>24</v>
      </c>
      <c r="V312" t="str">
        <f t="shared" si="63"/>
        <v>NN5 5QA</v>
      </c>
      <c r="W312" t="str">
        <f t="shared" si="64"/>
        <v>DN15 8TD</v>
      </c>
      <c r="X312" s="12">
        <v>5649</v>
      </c>
      <c r="Y312" s="15">
        <f t="shared" si="54"/>
        <v>24</v>
      </c>
    </row>
    <row r="313" spans="1:25" x14ac:dyDescent="0.2">
      <c r="A313" t="s">
        <v>3</v>
      </c>
      <c r="B313" s="1">
        <v>42749</v>
      </c>
      <c r="C313" s="2" t="str">
        <f t="shared" si="55"/>
        <v>Sat</v>
      </c>
      <c r="D313" t="s">
        <v>11</v>
      </c>
      <c r="E313" t="s">
        <v>23</v>
      </c>
      <c r="F313" t="str">
        <f t="shared" si="56"/>
        <v>D</v>
      </c>
      <c r="G313">
        <f t="shared" si="57"/>
        <v>0</v>
      </c>
      <c r="H313" t="s">
        <v>32</v>
      </c>
      <c r="I313">
        <f t="shared" si="58"/>
        <v>0</v>
      </c>
      <c r="J313">
        <f t="shared" si="65"/>
        <v>13559</v>
      </c>
      <c r="K313" s="15">
        <f t="shared" si="59"/>
        <v>533</v>
      </c>
      <c r="L313" s="15">
        <f t="shared" si="60"/>
        <v>300</v>
      </c>
      <c r="M313">
        <v>21</v>
      </c>
      <c r="N313">
        <v>16</v>
      </c>
      <c r="O313">
        <v>4</v>
      </c>
      <c r="P313">
        <v>4</v>
      </c>
      <c r="Q313" s="9">
        <v>187.97300000000001</v>
      </c>
      <c r="R313">
        <v>6</v>
      </c>
      <c r="T313" s="11">
        <f t="shared" si="61"/>
        <v>22</v>
      </c>
      <c r="U313" s="11">
        <f t="shared" si="62"/>
        <v>24</v>
      </c>
      <c r="V313" t="str">
        <f t="shared" si="63"/>
        <v>OL1 2PA</v>
      </c>
      <c r="W313" t="str">
        <f t="shared" si="64"/>
        <v>ME7 4DD</v>
      </c>
      <c r="X313" s="12">
        <v>3475</v>
      </c>
      <c r="Y313" s="15">
        <f t="shared" si="54"/>
        <v>24</v>
      </c>
    </row>
    <row r="314" spans="1:25" x14ac:dyDescent="0.2">
      <c r="A314" t="s">
        <v>3</v>
      </c>
      <c r="B314" s="1">
        <v>42749</v>
      </c>
      <c r="C314" s="2" t="str">
        <f t="shared" si="55"/>
        <v>Sat</v>
      </c>
      <c r="D314" t="s">
        <v>20</v>
      </c>
      <c r="E314" t="s">
        <v>6</v>
      </c>
      <c r="F314" t="str">
        <f t="shared" si="56"/>
        <v>D</v>
      </c>
      <c r="G314">
        <f t="shared" si="57"/>
        <v>0</v>
      </c>
      <c r="H314" t="s">
        <v>32</v>
      </c>
      <c r="I314">
        <f t="shared" si="58"/>
        <v>0</v>
      </c>
      <c r="J314">
        <f t="shared" si="65"/>
        <v>9875</v>
      </c>
      <c r="K314" s="15">
        <f t="shared" si="59"/>
        <v>1437</v>
      </c>
      <c r="L314" s="15">
        <f t="shared" si="60"/>
        <v>285</v>
      </c>
      <c r="M314">
        <v>22</v>
      </c>
      <c r="N314">
        <v>5</v>
      </c>
      <c r="O314">
        <v>4</v>
      </c>
      <c r="P314">
        <v>8</v>
      </c>
      <c r="Q314" s="9">
        <v>87.317999999999998</v>
      </c>
      <c r="R314">
        <v>3</v>
      </c>
      <c r="S314" t="s">
        <v>71</v>
      </c>
      <c r="T314" s="11">
        <f t="shared" si="61"/>
        <v>20</v>
      </c>
      <c r="U314" s="11">
        <f t="shared" si="62"/>
        <v>20</v>
      </c>
      <c r="V314" t="str">
        <f t="shared" si="63"/>
        <v>SY2 6ST</v>
      </c>
      <c r="W314" t="str">
        <f t="shared" si="64"/>
        <v>BD8 7DY</v>
      </c>
      <c r="X314" s="12">
        <v>5590</v>
      </c>
      <c r="Y314" s="15">
        <f t="shared" si="54"/>
        <v>22</v>
      </c>
    </row>
    <row r="315" spans="1:25" x14ac:dyDescent="0.2">
      <c r="A315" t="s">
        <v>3</v>
      </c>
      <c r="B315" s="1">
        <v>42749</v>
      </c>
      <c r="C315" s="2" t="str">
        <f t="shared" si="55"/>
        <v>Sat</v>
      </c>
      <c r="D315" t="s">
        <v>22</v>
      </c>
      <c r="E315" t="s">
        <v>16</v>
      </c>
      <c r="F315" t="str">
        <f t="shared" si="56"/>
        <v>D</v>
      </c>
      <c r="G315">
        <f t="shared" si="57"/>
        <v>0</v>
      </c>
      <c r="H315" t="s">
        <v>32</v>
      </c>
      <c r="I315">
        <f t="shared" si="58"/>
        <v>0</v>
      </c>
      <c r="J315">
        <f t="shared" si="65"/>
        <v>12392</v>
      </c>
      <c r="K315" s="15">
        <f t="shared" si="59"/>
        <v>497</v>
      </c>
      <c r="L315" s="15">
        <f t="shared" si="60"/>
        <v>395</v>
      </c>
      <c r="M315">
        <v>7</v>
      </c>
      <c r="N315">
        <v>4</v>
      </c>
      <c r="O315">
        <v>8</v>
      </c>
      <c r="P315">
        <v>12</v>
      </c>
      <c r="Q315" s="9">
        <v>187.50700000000001</v>
      </c>
      <c r="R315">
        <v>6</v>
      </c>
      <c r="T315" s="11">
        <f t="shared" si="61"/>
        <v>25</v>
      </c>
      <c r="U315" s="11">
        <f t="shared" si="62"/>
        <v>22</v>
      </c>
      <c r="V315" t="str">
        <f t="shared" si="63"/>
        <v>SS2 6NQ</v>
      </c>
      <c r="W315" t="str">
        <f t="shared" si="64"/>
        <v>OL11 5DR</v>
      </c>
      <c r="X315" s="12">
        <v>6570</v>
      </c>
      <c r="Y315" s="15">
        <f t="shared" si="54"/>
        <v>25</v>
      </c>
    </row>
    <row r="316" spans="1:25" x14ac:dyDescent="0.2">
      <c r="A316" t="s">
        <v>3</v>
      </c>
      <c r="B316" s="1">
        <v>42749</v>
      </c>
      <c r="C316" s="2" t="str">
        <f t="shared" si="55"/>
        <v>Sat</v>
      </c>
      <c r="D316" t="s">
        <v>26</v>
      </c>
      <c r="E316" t="s">
        <v>5</v>
      </c>
      <c r="F316" t="str">
        <f t="shared" si="56"/>
        <v>D</v>
      </c>
      <c r="G316">
        <f t="shared" si="57"/>
        <v>0</v>
      </c>
      <c r="H316" t="s">
        <v>32</v>
      </c>
      <c r="I316">
        <f t="shared" si="58"/>
        <v>0</v>
      </c>
      <c r="J316">
        <f t="shared" si="65"/>
        <v>11300</v>
      </c>
      <c r="K316" s="15">
        <f t="shared" si="59"/>
        <v>1622</v>
      </c>
      <c r="L316" s="15">
        <f t="shared" si="60"/>
        <v>253</v>
      </c>
      <c r="M316">
        <v>14</v>
      </c>
      <c r="N316">
        <v>1</v>
      </c>
      <c r="O316">
        <v>8</v>
      </c>
      <c r="P316">
        <v>12</v>
      </c>
      <c r="Q316" s="9">
        <v>59.715000000000003</v>
      </c>
      <c r="R316">
        <v>3</v>
      </c>
      <c r="T316" s="11">
        <f t="shared" si="61"/>
        <v>20</v>
      </c>
      <c r="U316" s="11">
        <f t="shared" si="62"/>
        <v>20</v>
      </c>
      <c r="V316" t="str">
        <f t="shared" si="63"/>
        <v>WS1 4SA</v>
      </c>
      <c r="W316" t="str">
        <f t="shared" si="64"/>
        <v>S2 4SU</v>
      </c>
      <c r="X316" s="12">
        <v>6899</v>
      </c>
      <c r="Y316" s="15">
        <f t="shared" si="54"/>
        <v>25.5</v>
      </c>
    </row>
    <row r="317" spans="1:25" x14ac:dyDescent="0.2">
      <c r="A317" t="s">
        <v>3</v>
      </c>
      <c r="B317" s="1">
        <v>42755</v>
      </c>
      <c r="C317" s="2" t="str">
        <f t="shared" si="55"/>
        <v>Fri</v>
      </c>
      <c r="D317" t="s">
        <v>7</v>
      </c>
      <c r="E317" t="s">
        <v>8</v>
      </c>
      <c r="F317" t="str">
        <f t="shared" si="56"/>
        <v>E</v>
      </c>
      <c r="G317">
        <f t="shared" si="57"/>
        <v>1</v>
      </c>
      <c r="H317" t="s">
        <v>32</v>
      </c>
      <c r="I317">
        <f t="shared" si="58"/>
        <v>0</v>
      </c>
      <c r="J317">
        <f t="shared" si="65"/>
        <v>18947</v>
      </c>
      <c r="K317" s="15">
        <f t="shared" si="59"/>
        <v>608</v>
      </c>
      <c r="L317" s="15">
        <f t="shared" si="60"/>
        <v>345</v>
      </c>
      <c r="M317">
        <v>16</v>
      </c>
      <c r="N317">
        <v>20</v>
      </c>
      <c r="O317">
        <v>5</v>
      </c>
      <c r="P317">
        <v>5</v>
      </c>
      <c r="Q317" s="9">
        <v>36.947000000000003</v>
      </c>
      <c r="R317">
        <v>6</v>
      </c>
      <c r="T317" s="11">
        <f t="shared" si="61"/>
        <v>22</v>
      </c>
      <c r="U317" s="11">
        <f t="shared" si="62"/>
        <v>22</v>
      </c>
      <c r="V317" t="str">
        <f t="shared" si="63"/>
        <v>ST6 1AW</v>
      </c>
      <c r="W317" t="str">
        <f t="shared" si="64"/>
        <v>BL9 9HR</v>
      </c>
      <c r="X317" s="12">
        <v>4338</v>
      </c>
      <c r="Y317" s="15">
        <f t="shared" si="54"/>
        <v>23</v>
      </c>
    </row>
    <row r="318" spans="1:25" x14ac:dyDescent="0.2">
      <c r="A318" t="s">
        <v>3</v>
      </c>
      <c r="B318" s="1">
        <v>42756</v>
      </c>
      <c r="C318" s="2" t="str">
        <f t="shared" si="55"/>
        <v>Sat</v>
      </c>
      <c r="D318" t="s">
        <v>6</v>
      </c>
      <c r="E318" t="s">
        <v>10</v>
      </c>
      <c r="F318" t="str">
        <f t="shared" si="56"/>
        <v>D</v>
      </c>
      <c r="G318">
        <f t="shared" si="57"/>
        <v>0</v>
      </c>
      <c r="H318" t="s">
        <v>32</v>
      </c>
      <c r="I318">
        <f t="shared" si="58"/>
        <v>0</v>
      </c>
      <c r="J318">
        <f t="shared" si="65"/>
        <v>25136</v>
      </c>
      <c r="K318" s="15">
        <f t="shared" si="59"/>
        <v>827</v>
      </c>
      <c r="L318" s="15">
        <f t="shared" si="60"/>
        <v>149</v>
      </c>
      <c r="M318">
        <v>4</v>
      </c>
      <c r="N318">
        <v>20</v>
      </c>
      <c r="O318">
        <v>8</v>
      </c>
      <c r="P318">
        <v>9</v>
      </c>
      <c r="Q318" s="9">
        <v>175.55799999999999</v>
      </c>
      <c r="R318">
        <v>2</v>
      </c>
      <c r="S318" t="s">
        <v>69</v>
      </c>
      <c r="T318" s="11">
        <f t="shared" si="61"/>
        <v>25</v>
      </c>
      <c r="U318" s="11">
        <f t="shared" si="62"/>
        <v>20</v>
      </c>
      <c r="V318" t="str">
        <f t="shared" si="63"/>
        <v>BD8 7DY</v>
      </c>
      <c r="W318" t="str">
        <f t="shared" si="64"/>
        <v>SE16 3LN</v>
      </c>
      <c r="X318" s="12">
        <v>17712</v>
      </c>
      <c r="Y318" s="15">
        <f t="shared" si="54"/>
        <v>25</v>
      </c>
    </row>
    <row r="319" spans="1:25" x14ac:dyDescent="0.2">
      <c r="A319" t="s">
        <v>3</v>
      </c>
      <c r="B319" s="1">
        <v>42756</v>
      </c>
      <c r="C319" s="2" t="str">
        <f t="shared" si="55"/>
        <v>Sat</v>
      </c>
      <c r="D319" t="s">
        <v>15</v>
      </c>
      <c r="E319" t="s">
        <v>27</v>
      </c>
      <c r="F319" t="str">
        <f t="shared" si="56"/>
        <v>D</v>
      </c>
      <c r="G319">
        <f t="shared" si="57"/>
        <v>0</v>
      </c>
      <c r="H319" t="s">
        <v>32</v>
      </c>
      <c r="I319">
        <f t="shared" si="58"/>
        <v>0</v>
      </c>
      <c r="J319">
        <f t="shared" si="65"/>
        <v>10504</v>
      </c>
      <c r="K319" s="15">
        <f t="shared" si="59"/>
        <v>622</v>
      </c>
      <c r="L319" s="15">
        <f t="shared" si="60"/>
        <v>345</v>
      </c>
      <c r="M319">
        <v>22</v>
      </c>
      <c r="N319">
        <v>12</v>
      </c>
      <c r="O319">
        <v>5</v>
      </c>
      <c r="P319">
        <v>5</v>
      </c>
      <c r="Q319" s="9">
        <v>136.63200000000001</v>
      </c>
      <c r="R319">
        <v>3</v>
      </c>
      <c r="T319" s="11">
        <f t="shared" si="61"/>
        <v>22</v>
      </c>
      <c r="U319" s="11">
        <f t="shared" si="62"/>
        <v>20</v>
      </c>
      <c r="V319" t="str">
        <f t="shared" si="63"/>
        <v>S41 8NZ</v>
      </c>
      <c r="W319" t="str">
        <f t="shared" si="64"/>
        <v>KT1 3PB</v>
      </c>
      <c r="X319" s="12">
        <v>6379</v>
      </c>
      <c r="Y319" s="15">
        <f t="shared" si="54"/>
        <v>26</v>
      </c>
    </row>
    <row r="320" spans="1:25" x14ac:dyDescent="0.2">
      <c r="A320" t="s">
        <v>3</v>
      </c>
      <c r="B320" s="1">
        <v>42756</v>
      </c>
      <c r="C320" s="2" t="str">
        <f t="shared" si="55"/>
        <v>Sat</v>
      </c>
      <c r="D320" t="s">
        <v>25</v>
      </c>
      <c r="E320" t="s">
        <v>13</v>
      </c>
      <c r="F320" t="str">
        <f t="shared" si="56"/>
        <v>D</v>
      </c>
      <c r="G320">
        <f t="shared" si="57"/>
        <v>0</v>
      </c>
      <c r="H320" t="s">
        <v>32</v>
      </c>
      <c r="I320">
        <f t="shared" si="58"/>
        <v>0</v>
      </c>
      <c r="J320">
        <f t="shared" si="65"/>
        <v>32609</v>
      </c>
      <c r="K320" s="15">
        <f t="shared" si="59"/>
        <v>210</v>
      </c>
      <c r="L320" s="15">
        <f t="shared" si="60"/>
        <v>299</v>
      </c>
      <c r="M320">
        <v>24</v>
      </c>
      <c r="N320">
        <v>6</v>
      </c>
      <c r="O320">
        <v>2</v>
      </c>
      <c r="P320">
        <v>13</v>
      </c>
      <c r="Q320" s="9">
        <v>119.648</v>
      </c>
      <c r="R320">
        <v>3</v>
      </c>
      <c r="T320" s="11">
        <f t="shared" si="61"/>
        <v>22</v>
      </c>
      <c r="U320" s="11">
        <f t="shared" si="62"/>
        <v>22</v>
      </c>
      <c r="V320" t="str">
        <f t="shared" si="63"/>
        <v>CV6 6GE</v>
      </c>
      <c r="W320" t="str">
        <f t="shared" si="64"/>
        <v>FY7 6TX</v>
      </c>
      <c r="X320" s="12">
        <v>8129</v>
      </c>
      <c r="Y320" s="15">
        <f t="shared" si="54"/>
        <v>26</v>
      </c>
    </row>
    <row r="321" spans="1:25" x14ac:dyDescent="0.2">
      <c r="A321" t="s">
        <v>3</v>
      </c>
      <c r="B321" s="1">
        <v>42756</v>
      </c>
      <c r="C321" s="2" t="str">
        <f t="shared" si="55"/>
        <v>Sat</v>
      </c>
      <c r="D321" t="s">
        <v>21</v>
      </c>
      <c r="E321" t="s">
        <v>12</v>
      </c>
      <c r="F321" t="str">
        <f t="shared" si="56"/>
        <v>D</v>
      </c>
      <c r="G321">
        <f t="shared" si="57"/>
        <v>0</v>
      </c>
      <c r="H321" t="s">
        <v>32</v>
      </c>
      <c r="I321">
        <f t="shared" si="58"/>
        <v>0</v>
      </c>
      <c r="J321">
        <f t="shared" si="65"/>
        <v>30500</v>
      </c>
      <c r="K321" s="15">
        <f t="shared" si="59"/>
        <v>843</v>
      </c>
      <c r="L321" s="15">
        <f t="shared" si="60"/>
        <v>312</v>
      </c>
      <c r="M321">
        <v>19</v>
      </c>
      <c r="N321">
        <v>16</v>
      </c>
      <c r="O321">
        <v>7</v>
      </c>
      <c r="P321">
        <v>0</v>
      </c>
      <c r="Q321" s="9">
        <v>17.63</v>
      </c>
      <c r="R321">
        <v>2</v>
      </c>
      <c r="T321" s="11">
        <f t="shared" si="61"/>
        <v>22</v>
      </c>
      <c r="U321" s="11">
        <f t="shared" si="62"/>
        <v>22</v>
      </c>
      <c r="V321" t="str">
        <f t="shared" si="63"/>
        <v>MK1 1ST</v>
      </c>
      <c r="W321" t="str">
        <f t="shared" si="64"/>
        <v>NN5 5QA</v>
      </c>
      <c r="X321" s="12">
        <v>12300</v>
      </c>
      <c r="Y321" s="15">
        <f t="shared" si="54"/>
        <v>27</v>
      </c>
    </row>
    <row r="322" spans="1:25" x14ac:dyDescent="0.2">
      <c r="A322" t="s">
        <v>3</v>
      </c>
      <c r="B322" s="1">
        <v>42756</v>
      </c>
      <c r="C322" s="2" t="str">
        <f t="shared" si="55"/>
        <v>Sat</v>
      </c>
      <c r="D322" t="s">
        <v>16</v>
      </c>
      <c r="E322" t="s">
        <v>14</v>
      </c>
      <c r="F322" t="str">
        <f t="shared" si="56"/>
        <v>D</v>
      </c>
      <c r="G322">
        <f t="shared" si="57"/>
        <v>0</v>
      </c>
      <c r="H322" t="s">
        <v>32</v>
      </c>
      <c r="I322">
        <f t="shared" si="58"/>
        <v>0</v>
      </c>
      <c r="J322">
        <f t="shared" si="65"/>
        <v>10249</v>
      </c>
      <c r="K322" s="15">
        <f t="shared" si="59"/>
        <v>1000</v>
      </c>
      <c r="L322" s="15">
        <f t="shared" si="60"/>
        <v>290</v>
      </c>
      <c r="M322">
        <v>5</v>
      </c>
      <c r="N322">
        <v>14</v>
      </c>
      <c r="O322">
        <v>9</v>
      </c>
      <c r="P322">
        <v>7</v>
      </c>
      <c r="Q322" s="9">
        <v>137.69900000000001</v>
      </c>
      <c r="R322">
        <v>2</v>
      </c>
      <c r="T322" s="11">
        <f t="shared" si="61"/>
        <v>17</v>
      </c>
      <c r="U322" s="11">
        <f t="shared" si="62"/>
        <v>22</v>
      </c>
      <c r="V322" t="str">
        <f t="shared" si="63"/>
        <v>OL11 5DR</v>
      </c>
      <c r="W322" t="str">
        <f t="shared" si="64"/>
        <v>OX4 4XP</v>
      </c>
      <c r="X322" s="12">
        <v>3246</v>
      </c>
      <c r="Y322" s="15">
        <f t="shared" ref="Y322:Y385" si="66">IF(D322="AFC Wimbledon",29,IF(D322="Bolton",30,IF(D322="Bury",22,IF(D322="Bradford",25,IF(D322="Bristol Rvs",26,IF(D322="Charlton",35,IF(D322="Chesterfield",26,IF(D322="Coventry",26,IF(D322="Gillingham",28,IF(D322="Millwall",30,IF(D322="Milton Keynes Dons",27,IF(D322="Northampton",24,IF(D322="Oldham",24,IF(D322="Oxford",24,IF(D322="Peterboro",26,IF(D322="Port Vale",23,IF(D322="Rochdale",22,IF(D322="Scunthorpe",23,IF(D322="Sheffield United",29,IF(D322="Southend",25,IF(D322="Shrewsbury",22,IF(D322="Swindon",25,IF(D322="Walsall",25.5,IF(D322="Fleetwood Town",23.5,"Unknown"))))))))))))))))))))))))</f>
        <v>22</v>
      </c>
    </row>
    <row r="323" spans="1:25" x14ac:dyDescent="0.2">
      <c r="A323" t="s">
        <v>3</v>
      </c>
      <c r="B323" s="1">
        <v>42756</v>
      </c>
      <c r="C323" s="2" t="str">
        <f t="shared" ref="C323:C386" si="67">TEXT(B323,"ddd")</f>
        <v>Sat</v>
      </c>
      <c r="D323" t="s">
        <v>5</v>
      </c>
      <c r="E323" t="s">
        <v>23</v>
      </c>
      <c r="F323" t="str">
        <f t="shared" ref="F323:F386" si="68">IF(C323="Sat","D",IF(C323="Sun","D","E"))</f>
        <v>D</v>
      </c>
      <c r="G323">
        <f t="shared" ref="G323:G386" si="69">IF(F323="D",0,1)</f>
        <v>0</v>
      </c>
      <c r="H323" t="s">
        <v>32</v>
      </c>
      <c r="I323">
        <f t="shared" ref="I323:I386" si="70">IF(H323="N",0,1)</f>
        <v>0</v>
      </c>
      <c r="J323">
        <f t="shared" si="65"/>
        <v>32702</v>
      </c>
      <c r="K323" s="15">
        <f t="shared" ref="K323:K386" si="71">IF(E323="AFC Wimbledon",622,IF(E323="Bolton",912,IF(E323="Bury",608,IF(E323="Bradford",1437,IF(E323="Bristol Rvs",1159,IF(E323="Charlton",680,IF(E323="Chesterfield",583,IF(E323="Coventry",1280,IF(E323="Gillingham",533,IF(E323="Millwall",827,IF(E323="Milton Keynes Dons",596,IF(E323="Northampton",843,IF(E323="Oldham",729,IF(E323="Oxford",1000,IF(E323="Peterboro",598,IF(E323="Port Vale",697,IF(E323="Rochdale",497,IF(E323="Scunthorpe",508,IF(E323="Sheffield United",1622,IF(E323="Southend",635,IF(E323="Shrewsbury",438,IF(E323="Swindon",503,IF(E323="Walsall",792,IF(E323="Fleetwood Town",210,"Unknown"))))))))))))))))))))))))</f>
        <v>533</v>
      </c>
      <c r="L323" s="15">
        <f t="shared" ref="L323:L386" si="72">IF(D323="AFC Wimbledon",260,IF(D323="Bolton",280,IF(D323="Bury",275,IF(D323="Bradford",149,IF(D323="Bristol Rvs",260,IF(D323="Charlton",175,IF(D323="Chesterfield",345,IF(D323="Coventry",299,IF(D323="Gillingham",285,IF(D323="Millwall",333,IF(D323="Milton Keynes Dons",312,IF(D323="Northampton",249,IF(D323="Oldham",300,IF(D323="Oxford",290,IF(D323="Peterboro",295,IF(D323="Port Vale",345,IF(D323="Rochdale",290,IF(D323="Scunthorpe",288,IF(D323="Sheffield United",288,IF(D323="Southend",395,IF(D323="Shrewsbury",285,IF(D323="Swindon",345,IF(D323="Walsall",253,IF(D323="Fleetwood Town",210,"Unknown"))))))))))))))))))))))))</f>
        <v>288</v>
      </c>
      <c r="M323">
        <v>3</v>
      </c>
      <c r="N323">
        <v>17</v>
      </c>
      <c r="O323">
        <v>10</v>
      </c>
      <c r="P323">
        <v>2</v>
      </c>
      <c r="Q323" s="9">
        <v>161.85400000000001</v>
      </c>
      <c r="R323">
        <v>2</v>
      </c>
      <c r="S323" t="s">
        <v>73</v>
      </c>
      <c r="T323" s="11">
        <f t="shared" ref="T323:T386" si="73">IF(D323="AFC Wimbledon",17,IF(D323="Bolton",15,IF(D323="Bury",18,IF(D323="Bradford",25,IF(D323="Bristol Rvs",18,IF(D323="Charlton",20,IF(D323="Chesterfield",22,IF(D323="Coventry",22,IF(D323="Gillingham",12,IF(D323="Millwall",22,IF(D323="Milton Keynes Dons",22,IF(D323="Northampton",24,IF(D323="Oldham",22,IF(D323="Oxford",20,IF(D323="Peterboro",21,IF(D323="Port Vale",22,IF(D323="Rochdale",17,IF(D323="Scunthorpe",18,IF(D323="Sheffield United",20,IF(D323="Southend",25,IF(D323="Shrewsbury",20,IF(D323="Swindon",19,IF(D323="Walsall",20,IF(D323="Fleetwood Town",21.5,"Unknown"))))))))))))))))))))))))</f>
        <v>20</v>
      </c>
      <c r="U323" s="11">
        <f t="shared" ref="U323:U386" si="74">IF(D323="AFC Wimbledon",17,IF(D323="Bolton",15,IF(D323="Bury",18,IF(D323="Bradford",20,IF(D323="Bristol Rvs",16,IF(D323="Charlton",20,IF(D323="Chesterfield",20,IF(D323="Coventry",22,IF(D323="Gillingham",10,IF(D323="Millwall",23,IF(D323="Milton Keynes Dons",22,IF(D323="Northampton",24,IF(D323="Oldham",24,IF(D323="Oxford",21,IF(D323="Peterboro",20,IF(D323="Port Vale",22,IF(D323="Rochdale",22,IF(D323="Scunthorpe",22,IF(D323="Sheffield United",20,IF(D323="Southend",22,IF(D323="Shrewsbury",20,IF(D323="Swindon",19,IF(D323="Walsall",20,IF(D323="Fleetwood Town",21.5,"Unknown"))))))))))))))))))))))))</f>
        <v>20</v>
      </c>
      <c r="V323" t="str">
        <f t="shared" si="63"/>
        <v>S2 4SU</v>
      </c>
      <c r="W323" t="str">
        <f t="shared" si="64"/>
        <v>ME7 4DD</v>
      </c>
      <c r="X323" s="12">
        <v>20649</v>
      </c>
      <c r="Y323" s="15">
        <f t="shared" si="66"/>
        <v>29</v>
      </c>
    </row>
    <row r="324" spans="1:25" x14ac:dyDescent="0.2">
      <c r="A324" t="s">
        <v>3</v>
      </c>
      <c r="B324" s="1">
        <v>42756</v>
      </c>
      <c r="C324" s="2" t="str">
        <f t="shared" si="67"/>
        <v>Sat</v>
      </c>
      <c r="D324" t="s">
        <v>20</v>
      </c>
      <c r="E324" t="s">
        <v>11</v>
      </c>
      <c r="F324" t="str">
        <f t="shared" si="68"/>
        <v>D</v>
      </c>
      <c r="G324">
        <f t="shared" si="69"/>
        <v>0</v>
      </c>
      <c r="H324" t="s">
        <v>32</v>
      </c>
      <c r="I324">
        <f t="shared" si="70"/>
        <v>0</v>
      </c>
      <c r="J324">
        <f t="shared" si="65"/>
        <v>9875</v>
      </c>
      <c r="K324" s="15">
        <f t="shared" si="71"/>
        <v>729</v>
      </c>
      <c r="L324" s="15">
        <f t="shared" si="72"/>
        <v>285</v>
      </c>
      <c r="M324">
        <v>22</v>
      </c>
      <c r="N324">
        <v>21</v>
      </c>
      <c r="O324">
        <v>7</v>
      </c>
      <c r="P324">
        <v>4</v>
      </c>
      <c r="Q324" s="9">
        <v>65.195999999999998</v>
      </c>
      <c r="R324">
        <v>-1</v>
      </c>
      <c r="S324" t="s">
        <v>69</v>
      </c>
      <c r="T324" s="11">
        <f t="shared" si="73"/>
        <v>20</v>
      </c>
      <c r="U324" s="11">
        <f t="shared" si="74"/>
        <v>20</v>
      </c>
      <c r="V324" t="str">
        <f t="shared" si="63"/>
        <v>SY2 6ST</v>
      </c>
      <c r="W324" t="str">
        <f t="shared" si="64"/>
        <v>OL1 2PA</v>
      </c>
      <c r="X324" s="12">
        <v>5537</v>
      </c>
      <c r="Y324" s="15">
        <f t="shared" si="66"/>
        <v>22</v>
      </c>
    </row>
    <row r="325" spans="1:25" x14ac:dyDescent="0.2">
      <c r="A325" t="s">
        <v>3</v>
      </c>
      <c r="B325" s="1">
        <v>42756</v>
      </c>
      <c r="C325" s="2" t="str">
        <f t="shared" si="67"/>
        <v>Sat</v>
      </c>
      <c r="D325" t="s">
        <v>24</v>
      </c>
      <c r="E325" t="s">
        <v>17</v>
      </c>
      <c r="F325" t="str">
        <f t="shared" si="68"/>
        <v>D</v>
      </c>
      <c r="G325">
        <f t="shared" si="69"/>
        <v>0</v>
      </c>
      <c r="H325" t="s">
        <v>32</v>
      </c>
      <c r="I325">
        <f t="shared" si="70"/>
        <v>0</v>
      </c>
      <c r="J325">
        <f t="shared" si="65"/>
        <v>15728</v>
      </c>
      <c r="K325" s="15">
        <f t="shared" si="71"/>
        <v>598</v>
      </c>
      <c r="L325" s="15">
        <f t="shared" si="72"/>
        <v>345</v>
      </c>
      <c r="M325">
        <v>19</v>
      </c>
      <c r="N325">
        <v>10</v>
      </c>
      <c r="O325">
        <v>5</v>
      </c>
      <c r="P325">
        <v>6</v>
      </c>
      <c r="Q325" s="9">
        <v>94.968999999999994</v>
      </c>
      <c r="R325">
        <v>-2</v>
      </c>
      <c r="S325" t="s">
        <v>73</v>
      </c>
      <c r="T325" s="11">
        <f t="shared" si="73"/>
        <v>19</v>
      </c>
      <c r="U325" s="11">
        <f t="shared" si="74"/>
        <v>19</v>
      </c>
      <c r="V325" t="str">
        <f t="shared" si="63"/>
        <v>SN1 2ED</v>
      </c>
      <c r="W325" t="str">
        <f t="shared" si="64"/>
        <v>PE2 8AL</v>
      </c>
      <c r="X325" s="12">
        <v>6514</v>
      </c>
      <c r="Y325" s="15">
        <f t="shared" si="66"/>
        <v>25</v>
      </c>
    </row>
    <row r="326" spans="1:25" x14ac:dyDescent="0.2">
      <c r="A326" t="s">
        <v>3</v>
      </c>
      <c r="B326" s="1">
        <v>42756</v>
      </c>
      <c r="C326" s="2" t="str">
        <f t="shared" si="67"/>
        <v>Sat</v>
      </c>
      <c r="D326" t="s">
        <v>26</v>
      </c>
      <c r="E326" t="s">
        <v>19</v>
      </c>
      <c r="F326" t="str">
        <f t="shared" si="68"/>
        <v>D</v>
      </c>
      <c r="G326">
        <f t="shared" si="69"/>
        <v>0</v>
      </c>
      <c r="H326" t="s">
        <v>32</v>
      </c>
      <c r="I326">
        <f t="shared" si="70"/>
        <v>0</v>
      </c>
      <c r="J326">
        <f t="shared" si="65"/>
        <v>11300</v>
      </c>
      <c r="K326" s="15">
        <f t="shared" si="71"/>
        <v>1159</v>
      </c>
      <c r="L326" s="15">
        <f t="shared" si="72"/>
        <v>253</v>
      </c>
      <c r="M326">
        <v>13</v>
      </c>
      <c r="N326">
        <v>9</v>
      </c>
      <c r="O326">
        <v>10</v>
      </c>
      <c r="P326">
        <v>6</v>
      </c>
      <c r="Q326" s="9">
        <v>78.822999999999993</v>
      </c>
      <c r="R326">
        <v>0</v>
      </c>
      <c r="T326" s="11">
        <f t="shared" si="73"/>
        <v>20</v>
      </c>
      <c r="U326" s="11">
        <f t="shared" si="74"/>
        <v>20</v>
      </c>
      <c r="V326" t="str">
        <f t="shared" si="63"/>
        <v>WS1 4SA</v>
      </c>
      <c r="W326" t="str">
        <f t="shared" si="64"/>
        <v>BS7 0BF</v>
      </c>
      <c r="X326" s="12">
        <v>6029</v>
      </c>
      <c r="Y326" s="15">
        <f t="shared" si="66"/>
        <v>25.5</v>
      </c>
    </row>
    <row r="327" spans="1:25" x14ac:dyDescent="0.2">
      <c r="A327" t="s">
        <v>3</v>
      </c>
      <c r="B327" s="1">
        <v>42759</v>
      </c>
      <c r="C327" s="2" t="str">
        <f t="shared" si="67"/>
        <v>Tue</v>
      </c>
      <c r="D327" t="s">
        <v>11</v>
      </c>
      <c r="E327" t="s">
        <v>17</v>
      </c>
      <c r="F327" t="str">
        <f t="shared" si="68"/>
        <v>E</v>
      </c>
      <c r="G327">
        <f t="shared" si="69"/>
        <v>1</v>
      </c>
      <c r="H327" t="s">
        <v>32</v>
      </c>
      <c r="I327">
        <f t="shared" si="70"/>
        <v>0</v>
      </c>
      <c r="J327">
        <f t="shared" si="65"/>
        <v>13559</v>
      </c>
      <c r="K327" s="15">
        <f t="shared" si="71"/>
        <v>598</v>
      </c>
      <c r="L327" s="15">
        <f t="shared" si="72"/>
        <v>300</v>
      </c>
      <c r="M327">
        <v>22</v>
      </c>
      <c r="N327">
        <v>6</v>
      </c>
      <c r="O327">
        <v>7</v>
      </c>
      <c r="P327">
        <v>5</v>
      </c>
      <c r="Q327" s="9">
        <v>104.096</v>
      </c>
      <c r="R327">
        <v>7</v>
      </c>
      <c r="T327" s="11">
        <f t="shared" si="73"/>
        <v>22</v>
      </c>
      <c r="U327" s="11">
        <f t="shared" si="74"/>
        <v>24</v>
      </c>
      <c r="V327" t="str">
        <f t="shared" si="63"/>
        <v>OL1 2PA</v>
      </c>
      <c r="W327" t="str">
        <f t="shared" si="64"/>
        <v>PE2 8AL</v>
      </c>
      <c r="X327" s="12">
        <v>7224</v>
      </c>
      <c r="Y327" s="15">
        <f t="shared" si="66"/>
        <v>24</v>
      </c>
    </row>
    <row r="328" spans="1:25" x14ac:dyDescent="0.2">
      <c r="A328" t="s">
        <v>3</v>
      </c>
      <c r="B328" s="1">
        <v>42759</v>
      </c>
      <c r="C328" s="2" t="str">
        <f t="shared" si="67"/>
        <v>Tue</v>
      </c>
      <c r="D328" t="s">
        <v>5</v>
      </c>
      <c r="E328" t="s">
        <v>13</v>
      </c>
      <c r="F328" t="str">
        <f t="shared" si="68"/>
        <v>E</v>
      </c>
      <c r="G328">
        <f t="shared" si="69"/>
        <v>1</v>
      </c>
      <c r="H328" t="s">
        <v>32</v>
      </c>
      <c r="I328">
        <f t="shared" si="70"/>
        <v>0</v>
      </c>
      <c r="J328">
        <f t="shared" si="65"/>
        <v>32702</v>
      </c>
      <c r="K328" s="15">
        <f t="shared" si="71"/>
        <v>210</v>
      </c>
      <c r="L328" s="15">
        <f t="shared" si="72"/>
        <v>288</v>
      </c>
      <c r="M328">
        <v>1</v>
      </c>
      <c r="N328">
        <v>6</v>
      </c>
      <c r="O328">
        <v>7</v>
      </c>
      <c r="P328">
        <v>15</v>
      </c>
      <c r="Q328" s="9">
        <v>74.05</v>
      </c>
      <c r="R328">
        <v>4</v>
      </c>
      <c r="S328" t="s">
        <v>73</v>
      </c>
      <c r="T328" s="11">
        <f t="shared" si="73"/>
        <v>20</v>
      </c>
      <c r="U328" s="11">
        <f t="shared" si="74"/>
        <v>20</v>
      </c>
      <c r="V328" t="str">
        <f t="shared" si="63"/>
        <v>S2 4SU</v>
      </c>
      <c r="W328" t="str">
        <f t="shared" si="64"/>
        <v>FY7 6TX</v>
      </c>
      <c r="X328" s="12">
        <v>19012</v>
      </c>
      <c r="Y328" s="15">
        <f t="shared" si="66"/>
        <v>29</v>
      </c>
    </row>
    <row r="329" spans="1:25" x14ac:dyDescent="0.2">
      <c r="A329" t="s">
        <v>3</v>
      </c>
      <c r="B329" s="1">
        <v>42763</v>
      </c>
      <c r="C329" s="2" t="str">
        <f t="shared" si="67"/>
        <v>Sat</v>
      </c>
      <c r="D329" t="s">
        <v>4</v>
      </c>
      <c r="E329" t="s">
        <v>9</v>
      </c>
      <c r="F329" t="str">
        <f t="shared" si="68"/>
        <v>D</v>
      </c>
      <c r="G329">
        <f t="shared" si="69"/>
        <v>0</v>
      </c>
      <c r="H329" t="s">
        <v>32</v>
      </c>
      <c r="I329">
        <f t="shared" si="70"/>
        <v>0</v>
      </c>
      <c r="J329">
        <f t="shared" si="65"/>
        <v>28723</v>
      </c>
      <c r="K329" s="15">
        <f t="shared" si="71"/>
        <v>680</v>
      </c>
      <c r="L329" s="15">
        <f t="shared" si="72"/>
        <v>280</v>
      </c>
      <c r="M329">
        <v>3</v>
      </c>
      <c r="N329">
        <v>14</v>
      </c>
      <c r="O329">
        <v>7</v>
      </c>
      <c r="P329">
        <v>11</v>
      </c>
      <c r="Q329" s="9">
        <v>180.81399999999999</v>
      </c>
      <c r="R329">
        <v>3</v>
      </c>
      <c r="S329" t="s">
        <v>68</v>
      </c>
      <c r="T329" s="11">
        <f t="shared" si="73"/>
        <v>15</v>
      </c>
      <c r="U329" s="11">
        <f t="shared" si="74"/>
        <v>15</v>
      </c>
      <c r="V329" t="str">
        <f t="shared" si="63"/>
        <v>BL6 6JW</v>
      </c>
      <c r="W329" t="str">
        <f t="shared" si="64"/>
        <v>SE7 8BL</v>
      </c>
      <c r="X329" s="12">
        <v>13265</v>
      </c>
      <c r="Y329" s="15">
        <f t="shared" si="66"/>
        <v>30</v>
      </c>
    </row>
    <row r="330" spans="1:25" x14ac:dyDescent="0.2">
      <c r="A330" t="s">
        <v>3</v>
      </c>
      <c r="B330" s="1">
        <v>42763</v>
      </c>
      <c r="C330" s="2" t="str">
        <f t="shared" si="67"/>
        <v>Sat</v>
      </c>
      <c r="D330" t="s">
        <v>19</v>
      </c>
      <c r="E330" t="s">
        <v>24</v>
      </c>
      <c r="F330" t="str">
        <f t="shared" si="68"/>
        <v>D</v>
      </c>
      <c r="G330">
        <f t="shared" si="69"/>
        <v>0</v>
      </c>
      <c r="H330" t="s">
        <v>32</v>
      </c>
      <c r="I330">
        <f t="shared" si="70"/>
        <v>0</v>
      </c>
      <c r="J330">
        <f t="shared" si="65"/>
        <v>12000</v>
      </c>
      <c r="K330" s="15">
        <f t="shared" si="71"/>
        <v>503</v>
      </c>
      <c r="L330" s="15">
        <f t="shared" si="72"/>
        <v>260</v>
      </c>
      <c r="M330">
        <v>11</v>
      </c>
      <c r="N330">
        <v>19</v>
      </c>
      <c r="O330">
        <v>6</v>
      </c>
      <c r="P330">
        <v>5</v>
      </c>
      <c r="Q330" s="9">
        <v>35.44</v>
      </c>
      <c r="R330">
        <v>5</v>
      </c>
      <c r="T330" s="11">
        <f t="shared" si="73"/>
        <v>18</v>
      </c>
      <c r="U330" s="11">
        <f t="shared" si="74"/>
        <v>16</v>
      </c>
      <c r="V330" t="str">
        <f t="shared" si="63"/>
        <v>BS7 0BF</v>
      </c>
      <c r="W330" t="str">
        <f t="shared" si="64"/>
        <v>SN1 2ED</v>
      </c>
      <c r="X330" s="12">
        <v>10557</v>
      </c>
      <c r="Y330" s="15">
        <f t="shared" si="66"/>
        <v>26</v>
      </c>
    </row>
    <row r="331" spans="1:25" x14ac:dyDescent="0.2">
      <c r="A331" t="s">
        <v>3</v>
      </c>
      <c r="B331" s="1">
        <v>42763</v>
      </c>
      <c r="C331" s="2" t="str">
        <f t="shared" si="67"/>
        <v>Sat</v>
      </c>
      <c r="D331" t="s">
        <v>8</v>
      </c>
      <c r="E331" t="s">
        <v>26</v>
      </c>
      <c r="F331" t="str">
        <f t="shared" si="68"/>
        <v>D</v>
      </c>
      <c r="G331">
        <f t="shared" si="69"/>
        <v>0</v>
      </c>
      <c r="H331" t="s">
        <v>32</v>
      </c>
      <c r="I331">
        <f t="shared" si="70"/>
        <v>0</v>
      </c>
      <c r="J331">
        <f t="shared" si="65"/>
        <v>11841</v>
      </c>
      <c r="K331" s="15">
        <f t="shared" si="71"/>
        <v>792</v>
      </c>
      <c r="L331" s="15">
        <f t="shared" si="72"/>
        <v>275</v>
      </c>
      <c r="M331">
        <v>21</v>
      </c>
      <c r="N331">
        <v>13</v>
      </c>
      <c r="O331">
        <v>5</v>
      </c>
      <c r="P331">
        <v>8</v>
      </c>
      <c r="Q331" s="9">
        <v>71.364000000000004</v>
      </c>
      <c r="R331">
        <v>3</v>
      </c>
      <c r="S331" t="s">
        <v>68</v>
      </c>
      <c r="T331" s="11">
        <f t="shared" si="73"/>
        <v>18</v>
      </c>
      <c r="U331" s="11">
        <f t="shared" si="74"/>
        <v>18</v>
      </c>
      <c r="V331" t="str">
        <f t="shared" si="63"/>
        <v>BL9 9HR</v>
      </c>
      <c r="W331" t="str">
        <f t="shared" si="64"/>
        <v>WS1 4SA</v>
      </c>
      <c r="X331" s="12">
        <v>3280</v>
      </c>
      <c r="Y331" s="15">
        <f t="shared" si="66"/>
        <v>22</v>
      </c>
    </row>
    <row r="332" spans="1:25" x14ac:dyDescent="0.2">
      <c r="A332" t="s">
        <v>3</v>
      </c>
      <c r="B332" s="1">
        <v>42763</v>
      </c>
      <c r="C332" s="2" t="str">
        <f t="shared" si="67"/>
        <v>Sat</v>
      </c>
      <c r="D332" t="s">
        <v>13</v>
      </c>
      <c r="E332" t="s">
        <v>22</v>
      </c>
      <c r="F332" t="str">
        <f t="shared" si="68"/>
        <v>D</v>
      </c>
      <c r="G332">
        <f t="shared" si="69"/>
        <v>0</v>
      </c>
      <c r="H332" t="s">
        <v>32</v>
      </c>
      <c r="I332">
        <f t="shared" si="70"/>
        <v>0</v>
      </c>
      <c r="J332">
        <f t="shared" si="65"/>
        <v>5327</v>
      </c>
      <c r="K332" s="15">
        <f t="shared" si="71"/>
        <v>635</v>
      </c>
      <c r="L332" s="15">
        <f t="shared" si="72"/>
        <v>210</v>
      </c>
      <c r="M332">
        <v>4</v>
      </c>
      <c r="N332">
        <v>7</v>
      </c>
      <c r="O332">
        <v>13</v>
      </c>
      <c r="P332">
        <v>6</v>
      </c>
      <c r="Q332" s="9">
        <v>226.13</v>
      </c>
      <c r="R332">
        <v>4</v>
      </c>
      <c r="S332" t="s">
        <v>68</v>
      </c>
      <c r="T332" s="11">
        <f t="shared" si="73"/>
        <v>21.5</v>
      </c>
      <c r="U332" s="11">
        <f t="shared" si="74"/>
        <v>21.5</v>
      </c>
      <c r="V332" t="str">
        <f t="shared" si="63"/>
        <v>FY7 6TX</v>
      </c>
      <c r="W332" t="str">
        <f t="shared" si="64"/>
        <v>SS2 6NQ</v>
      </c>
      <c r="X332" s="12">
        <v>2675</v>
      </c>
      <c r="Y332" s="15">
        <f t="shared" si="66"/>
        <v>23.5</v>
      </c>
    </row>
    <row r="333" spans="1:25" x14ac:dyDescent="0.2">
      <c r="A333" t="s">
        <v>3</v>
      </c>
      <c r="B333" s="1">
        <v>42763</v>
      </c>
      <c r="C333" s="2" t="str">
        <f t="shared" si="67"/>
        <v>Sat</v>
      </c>
      <c r="D333" t="s">
        <v>23</v>
      </c>
      <c r="E333" t="s">
        <v>20</v>
      </c>
      <c r="F333" t="str">
        <f t="shared" si="68"/>
        <v>D</v>
      </c>
      <c r="G333">
        <f t="shared" si="69"/>
        <v>0</v>
      </c>
      <c r="H333" t="s">
        <v>32</v>
      </c>
      <c r="I333">
        <f t="shared" si="70"/>
        <v>0</v>
      </c>
      <c r="J333">
        <f t="shared" si="65"/>
        <v>11582</v>
      </c>
      <c r="K333" s="15">
        <f t="shared" si="71"/>
        <v>438</v>
      </c>
      <c r="L333" s="15">
        <f t="shared" si="72"/>
        <v>285</v>
      </c>
      <c r="M333">
        <v>17</v>
      </c>
      <c r="N333">
        <v>20</v>
      </c>
      <c r="O333">
        <v>2</v>
      </c>
      <c r="P333">
        <v>8</v>
      </c>
      <c r="Q333" s="9">
        <v>167.14500000000001</v>
      </c>
      <c r="R333">
        <v>8</v>
      </c>
      <c r="T333" s="11">
        <f t="shared" si="73"/>
        <v>12</v>
      </c>
      <c r="U333" s="11">
        <f t="shared" si="74"/>
        <v>10</v>
      </c>
      <c r="V333" t="str">
        <f t="shared" si="63"/>
        <v>ME7 4DD</v>
      </c>
      <c r="W333" t="str">
        <f t="shared" si="64"/>
        <v>SY2 6ST</v>
      </c>
      <c r="X333" s="12">
        <v>5316</v>
      </c>
      <c r="Y333" s="15">
        <f t="shared" si="66"/>
        <v>28</v>
      </c>
    </row>
    <row r="334" spans="1:25" x14ac:dyDescent="0.2">
      <c r="A334" t="s">
        <v>3</v>
      </c>
      <c r="B334" s="1">
        <v>42763</v>
      </c>
      <c r="C334" s="2" t="str">
        <f t="shared" si="67"/>
        <v>Sat</v>
      </c>
      <c r="D334" t="s">
        <v>12</v>
      </c>
      <c r="E334" t="s">
        <v>25</v>
      </c>
      <c r="F334" t="str">
        <f t="shared" si="68"/>
        <v>D</v>
      </c>
      <c r="G334">
        <f t="shared" si="69"/>
        <v>0</v>
      </c>
      <c r="H334" t="s">
        <v>32</v>
      </c>
      <c r="I334">
        <f t="shared" si="70"/>
        <v>0</v>
      </c>
      <c r="J334">
        <f t="shared" si="65"/>
        <v>7653</v>
      </c>
      <c r="K334" s="15">
        <f t="shared" si="71"/>
        <v>1280</v>
      </c>
      <c r="L334" s="15">
        <f t="shared" si="72"/>
        <v>249</v>
      </c>
      <c r="M334">
        <v>18</v>
      </c>
      <c r="N334">
        <v>24</v>
      </c>
      <c r="O334">
        <v>3</v>
      </c>
      <c r="P334">
        <v>2</v>
      </c>
      <c r="Q334" s="9">
        <v>28.045999999999999</v>
      </c>
      <c r="R334">
        <v>8</v>
      </c>
      <c r="T334" s="11">
        <f t="shared" si="73"/>
        <v>24</v>
      </c>
      <c r="U334" s="11">
        <f t="shared" si="74"/>
        <v>24</v>
      </c>
      <c r="V334" t="str">
        <f t="shared" si="63"/>
        <v>NN5 5QA</v>
      </c>
      <c r="W334" t="str">
        <f t="shared" si="64"/>
        <v>CV6 6GE</v>
      </c>
      <c r="X334" s="12">
        <v>7543</v>
      </c>
      <c r="Y334" s="15">
        <f t="shared" si="66"/>
        <v>24</v>
      </c>
    </row>
    <row r="335" spans="1:25" x14ac:dyDescent="0.2">
      <c r="A335" t="s">
        <v>3</v>
      </c>
      <c r="B335" s="1">
        <v>42763</v>
      </c>
      <c r="C335" s="2" t="str">
        <f t="shared" si="67"/>
        <v>Sat</v>
      </c>
      <c r="D335" t="s">
        <v>11</v>
      </c>
      <c r="E335" t="s">
        <v>6</v>
      </c>
      <c r="F335" t="str">
        <f t="shared" si="68"/>
        <v>D</v>
      </c>
      <c r="G335">
        <f t="shared" si="69"/>
        <v>0</v>
      </c>
      <c r="H335" t="s">
        <v>32</v>
      </c>
      <c r="I335">
        <f t="shared" si="70"/>
        <v>0</v>
      </c>
      <c r="J335">
        <f t="shared" si="65"/>
        <v>13559</v>
      </c>
      <c r="K335" s="15">
        <f t="shared" si="71"/>
        <v>1437</v>
      </c>
      <c r="L335" s="15">
        <f t="shared" si="72"/>
        <v>300</v>
      </c>
      <c r="M335">
        <v>23</v>
      </c>
      <c r="N335">
        <v>5</v>
      </c>
      <c r="O335">
        <v>7</v>
      </c>
      <c r="P335">
        <v>10</v>
      </c>
      <c r="Q335" s="9">
        <v>22.913</v>
      </c>
      <c r="R335">
        <v>5</v>
      </c>
      <c r="T335" s="11">
        <f t="shared" si="73"/>
        <v>22</v>
      </c>
      <c r="U335" s="11">
        <f t="shared" si="74"/>
        <v>24</v>
      </c>
      <c r="V335" t="str">
        <f t="shared" ref="V335:V398" si="75">IF(D335="Bolton","BL6 6JW",IF(D335="Bradford","BD8 7DY",IF(D335="Bury","BL9 9HR",IF(D335="Millwall","SE16 3LN",IF(D335="Northampton","NN5 5QA",IF(D335="Oxford","OX4 4XP",IF(D335="Rochdale","OL11 5DR",IF(D335="Scunthorpe","DN15 8TD",IF(D335="Shrewsbury","SY2 6ST",IF(D335="Southend","SS2 6NQ",IF(D335="Swindon","SN1 2ED",IF(D335="Walsall","WS1 4SA",IF(D335="Sheffield United","S2 4SU",IF(D335="Port Vale","ST6 1AW",IF(D335="Charlton","SE7 8BL",IF(D335="Oldham","OL1 2PA",IF(D335="Fleetwood Town","FY7 6TX",IF(D335="Chesterfield","S41 8NZ",IF(D335="Peterboro","PE2 8AL",IF(D335="Bristol Rvs","BS7 0BF",IF(D335="Milton Keynes Dons","MK1 1ST",IF(D335="Gillingham","ME7 4DD",IF(D335="Coventry","CV6 6GE",IF(D335="AFC Wimbledon","KT1 3PB"))))))))))))))))))))))))</f>
        <v>OL1 2PA</v>
      </c>
      <c r="W335" t="str">
        <f t="shared" ref="W335:W398" si="76">IF(E335="Bolton","BL6 6JW",IF(E335="Bradford","BD8 7DY",IF(E335="Bury","BL9 9HR",IF(E335="Millwall","SE16 3LN",IF(E335="Northampton","NN5 5QA",IF(E335="Oxford","OX4 4XP",IF(E335="Rochdale","OL11 5DR",IF(E335="Scunthorpe","DN15 8TD",IF(E335="Shrewsbury","SY2 6ST",IF(E335="Southend","SS2 6NQ",IF(E335="Swindon","SN1 2ED",IF(E335="Walsall","WS1 4SA",IF(E335="Sheffield United","S2 4SU",IF(E335="Port Vale","ST6 1AW",IF(E335="Charlton","SE7 8BL",IF(E335="Oldham","OL1 2PA",IF(E335="Fleetwood Town","FY7 6TX",IF(E335="Chesterfield","S41 8NZ",IF(E335="Peterboro","PE2 8AL",IF(E335="Bristol Rvs","BS7 0BF",IF(E335="Milton Keynes Dons","MK1 1ST",IF(E335="Gillingham","ME7 4DD",IF(E335="Coventry","CV6 6GE",IF(E335="AFC Wimbledon","KT1 3PB"))))))))))))))))))))))))</f>
        <v>BD8 7DY</v>
      </c>
      <c r="X335" s="12">
        <v>6516</v>
      </c>
      <c r="Y335" s="15">
        <f t="shared" si="66"/>
        <v>24</v>
      </c>
    </row>
    <row r="336" spans="1:25" x14ac:dyDescent="0.2">
      <c r="A336" t="s">
        <v>3</v>
      </c>
      <c r="B336" s="1">
        <v>42763</v>
      </c>
      <c r="C336" s="2" t="str">
        <f t="shared" si="67"/>
        <v>Sat</v>
      </c>
      <c r="D336" t="s">
        <v>17</v>
      </c>
      <c r="E336" t="s">
        <v>21</v>
      </c>
      <c r="F336" t="str">
        <f t="shared" si="68"/>
        <v>D</v>
      </c>
      <c r="G336">
        <f t="shared" si="69"/>
        <v>0</v>
      </c>
      <c r="H336" t="s">
        <v>32</v>
      </c>
      <c r="I336">
        <f t="shared" si="70"/>
        <v>0</v>
      </c>
      <c r="J336">
        <f t="shared" si="65"/>
        <v>15314</v>
      </c>
      <c r="K336" s="15">
        <f t="shared" si="71"/>
        <v>596</v>
      </c>
      <c r="L336" s="15">
        <f t="shared" si="72"/>
        <v>295</v>
      </c>
      <c r="M336">
        <v>8</v>
      </c>
      <c r="N336">
        <v>15</v>
      </c>
      <c r="O336">
        <v>4</v>
      </c>
      <c r="P336">
        <v>10</v>
      </c>
      <c r="Q336" s="9">
        <v>43.725999999999999</v>
      </c>
      <c r="R336">
        <v>4</v>
      </c>
      <c r="T336" s="11">
        <f t="shared" si="73"/>
        <v>21</v>
      </c>
      <c r="U336" s="11">
        <f t="shared" si="74"/>
        <v>20</v>
      </c>
      <c r="V336" t="str">
        <f t="shared" si="75"/>
        <v>PE2 8AL</v>
      </c>
      <c r="W336" t="str">
        <f t="shared" si="76"/>
        <v>MK1 1ST</v>
      </c>
      <c r="X336" s="12">
        <v>6617</v>
      </c>
      <c r="Y336" s="15">
        <f t="shared" si="66"/>
        <v>26</v>
      </c>
    </row>
    <row r="337" spans="1:25" x14ac:dyDescent="0.2">
      <c r="A337" t="s">
        <v>3</v>
      </c>
      <c r="B337" s="1">
        <v>42763</v>
      </c>
      <c r="C337" s="2" t="str">
        <f t="shared" si="67"/>
        <v>Sat</v>
      </c>
      <c r="D337" t="s">
        <v>18</v>
      </c>
      <c r="E337" t="s">
        <v>7</v>
      </c>
      <c r="F337" t="str">
        <f t="shared" si="68"/>
        <v>D</v>
      </c>
      <c r="G337">
        <f t="shared" si="69"/>
        <v>0</v>
      </c>
      <c r="H337" t="s">
        <v>32</v>
      </c>
      <c r="I337">
        <f t="shared" si="70"/>
        <v>0</v>
      </c>
      <c r="J337">
        <f t="shared" si="65"/>
        <v>9183</v>
      </c>
      <c r="K337" s="15">
        <f t="shared" si="71"/>
        <v>697</v>
      </c>
      <c r="L337" s="15">
        <f t="shared" si="72"/>
        <v>288</v>
      </c>
      <c r="M337">
        <v>2</v>
      </c>
      <c r="N337">
        <v>16</v>
      </c>
      <c r="O337">
        <v>10</v>
      </c>
      <c r="P337">
        <v>5</v>
      </c>
      <c r="Q337" s="9">
        <v>72.08</v>
      </c>
      <c r="R337">
        <v>4</v>
      </c>
      <c r="S337" t="s">
        <v>74</v>
      </c>
      <c r="T337" s="11">
        <f t="shared" si="73"/>
        <v>18</v>
      </c>
      <c r="U337" s="11">
        <f t="shared" si="74"/>
        <v>22</v>
      </c>
      <c r="V337" t="str">
        <f t="shared" si="75"/>
        <v>DN15 8TD</v>
      </c>
      <c r="W337" t="str">
        <f t="shared" si="76"/>
        <v>ST6 1AW</v>
      </c>
      <c r="X337" s="12">
        <v>4442</v>
      </c>
      <c r="Y337" s="15">
        <f t="shared" si="66"/>
        <v>23</v>
      </c>
    </row>
    <row r="338" spans="1:25" x14ac:dyDescent="0.2">
      <c r="A338" t="s">
        <v>3</v>
      </c>
      <c r="B338" s="1">
        <v>42767</v>
      </c>
      <c r="C338" s="2" t="str">
        <f t="shared" si="67"/>
        <v>Wed</v>
      </c>
      <c r="D338" t="s">
        <v>10</v>
      </c>
      <c r="E338" t="s">
        <v>26</v>
      </c>
      <c r="F338" t="str">
        <f t="shared" si="68"/>
        <v>E</v>
      </c>
      <c r="G338">
        <f t="shared" si="69"/>
        <v>1</v>
      </c>
      <c r="H338" t="s">
        <v>32</v>
      </c>
      <c r="I338">
        <f t="shared" si="70"/>
        <v>0</v>
      </c>
      <c r="J338">
        <f t="shared" si="65"/>
        <v>20146</v>
      </c>
      <c r="K338" s="15">
        <f t="shared" si="71"/>
        <v>792</v>
      </c>
      <c r="L338" s="15">
        <f t="shared" si="72"/>
        <v>333</v>
      </c>
      <c r="M338">
        <v>9</v>
      </c>
      <c r="N338">
        <v>14</v>
      </c>
      <c r="O338">
        <v>7</v>
      </c>
      <c r="P338">
        <v>7</v>
      </c>
      <c r="Q338" s="9">
        <v>111.29</v>
      </c>
      <c r="R338">
        <v>10</v>
      </c>
      <c r="S338" t="s">
        <v>68</v>
      </c>
      <c r="T338" s="11">
        <f t="shared" si="73"/>
        <v>22</v>
      </c>
      <c r="U338" s="11">
        <f t="shared" si="74"/>
        <v>23</v>
      </c>
      <c r="V338" t="str">
        <f t="shared" si="75"/>
        <v>SE16 3LN</v>
      </c>
      <c r="W338" t="str">
        <f t="shared" si="76"/>
        <v>WS1 4SA</v>
      </c>
      <c r="X338" s="12">
        <v>7392</v>
      </c>
      <c r="Y338" s="15">
        <f t="shared" si="66"/>
        <v>30</v>
      </c>
    </row>
    <row r="339" spans="1:25" x14ac:dyDescent="0.2">
      <c r="A339" t="s">
        <v>3</v>
      </c>
      <c r="B339" s="1">
        <v>42770</v>
      </c>
      <c r="C339" s="2" t="str">
        <f t="shared" si="67"/>
        <v>Sat</v>
      </c>
      <c r="D339" t="s">
        <v>6</v>
      </c>
      <c r="E339" t="s">
        <v>23</v>
      </c>
      <c r="F339" t="str">
        <f t="shared" si="68"/>
        <v>D</v>
      </c>
      <c r="G339">
        <f t="shared" si="69"/>
        <v>0</v>
      </c>
      <c r="H339" t="s">
        <v>32</v>
      </c>
      <c r="I339">
        <f t="shared" si="70"/>
        <v>0</v>
      </c>
      <c r="J339">
        <f t="shared" si="65"/>
        <v>25136</v>
      </c>
      <c r="K339" s="15">
        <f t="shared" si="71"/>
        <v>533</v>
      </c>
      <c r="L339" s="15">
        <f t="shared" si="72"/>
        <v>149</v>
      </c>
      <c r="M339">
        <v>5</v>
      </c>
      <c r="N339">
        <v>17</v>
      </c>
      <c r="O339">
        <v>8</v>
      </c>
      <c r="P339">
        <v>3</v>
      </c>
      <c r="Q339" s="9">
        <v>193.59100000000001</v>
      </c>
      <c r="R339">
        <v>3</v>
      </c>
      <c r="S339" t="s">
        <v>68</v>
      </c>
      <c r="T339" s="11">
        <f t="shared" si="73"/>
        <v>25</v>
      </c>
      <c r="U339" s="11">
        <f t="shared" si="74"/>
        <v>20</v>
      </c>
      <c r="V339" t="str">
        <f t="shared" si="75"/>
        <v>BD8 7DY</v>
      </c>
      <c r="W339" t="str">
        <f t="shared" si="76"/>
        <v>ME7 4DD</v>
      </c>
      <c r="X339" s="12">
        <v>18840</v>
      </c>
      <c r="Y339" s="15">
        <f t="shared" si="66"/>
        <v>25</v>
      </c>
    </row>
    <row r="340" spans="1:25" x14ac:dyDescent="0.2">
      <c r="A340" t="s">
        <v>3</v>
      </c>
      <c r="B340" s="1">
        <v>42770</v>
      </c>
      <c r="C340" s="2" t="str">
        <f t="shared" si="67"/>
        <v>Sat</v>
      </c>
      <c r="D340" t="s">
        <v>9</v>
      </c>
      <c r="E340" t="s">
        <v>13</v>
      </c>
      <c r="F340" t="str">
        <f t="shared" si="68"/>
        <v>D</v>
      </c>
      <c r="G340">
        <f t="shared" si="69"/>
        <v>0</v>
      </c>
      <c r="H340" t="s">
        <v>32</v>
      </c>
      <c r="I340">
        <f t="shared" si="70"/>
        <v>0</v>
      </c>
      <c r="J340">
        <f t="shared" si="65"/>
        <v>26875</v>
      </c>
      <c r="K340" s="15">
        <f t="shared" si="71"/>
        <v>210</v>
      </c>
      <c r="L340" s="15">
        <f t="shared" si="72"/>
        <v>175</v>
      </c>
      <c r="M340">
        <v>11</v>
      </c>
      <c r="N340">
        <v>4</v>
      </c>
      <c r="O340">
        <v>9</v>
      </c>
      <c r="P340">
        <v>11</v>
      </c>
      <c r="Q340" s="9">
        <v>211.423</v>
      </c>
      <c r="R340">
        <v>8</v>
      </c>
      <c r="T340" s="11">
        <f t="shared" si="73"/>
        <v>20</v>
      </c>
      <c r="U340" s="11">
        <f t="shared" si="74"/>
        <v>20</v>
      </c>
      <c r="V340" t="str">
        <f t="shared" si="75"/>
        <v>SE7 8BL</v>
      </c>
      <c r="W340" t="str">
        <f t="shared" si="76"/>
        <v>FY7 6TX</v>
      </c>
      <c r="X340" s="12">
        <v>9916</v>
      </c>
      <c r="Y340" s="15">
        <f t="shared" si="66"/>
        <v>35</v>
      </c>
    </row>
    <row r="341" spans="1:25" x14ac:dyDescent="0.2">
      <c r="A341" t="s">
        <v>3</v>
      </c>
      <c r="B341" s="1">
        <v>42770</v>
      </c>
      <c r="C341" s="2" t="str">
        <f t="shared" si="67"/>
        <v>Sat</v>
      </c>
      <c r="D341" t="s">
        <v>15</v>
      </c>
      <c r="E341" t="s">
        <v>11</v>
      </c>
      <c r="F341" t="str">
        <f t="shared" si="68"/>
        <v>D</v>
      </c>
      <c r="G341">
        <f t="shared" si="69"/>
        <v>0</v>
      </c>
      <c r="H341" t="s">
        <v>32</v>
      </c>
      <c r="I341">
        <f t="shared" si="70"/>
        <v>0</v>
      </c>
      <c r="J341">
        <f t="shared" si="65"/>
        <v>10504</v>
      </c>
      <c r="K341" s="15">
        <f t="shared" si="71"/>
        <v>729</v>
      </c>
      <c r="L341" s="15">
        <f t="shared" si="72"/>
        <v>345</v>
      </c>
      <c r="M341">
        <v>22</v>
      </c>
      <c r="N341">
        <v>23</v>
      </c>
      <c r="O341">
        <v>5</v>
      </c>
      <c r="P341">
        <v>9</v>
      </c>
      <c r="Q341" s="9">
        <v>35.673000000000002</v>
      </c>
      <c r="R341">
        <v>6</v>
      </c>
      <c r="T341" s="11">
        <f t="shared" si="73"/>
        <v>22</v>
      </c>
      <c r="U341" s="11">
        <f t="shared" si="74"/>
        <v>20</v>
      </c>
      <c r="V341" t="str">
        <f t="shared" si="75"/>
        <v>S41 8NZ</v>
      </c>
      <c r="W341" t="str">
        <f t="shared" si="76"/>
        <v>OL1 2PA</v>
      </c>
      <c r="X341" s="12">
        <v>6375</v>
      </c>
      <c r="Y341" s="15">
        <f t="shared" si="66"/>
        <v>26</v>
      </c>
    </row>
    <row r="342" spans="1:25" x14ac:dyDescent="0.2">
      <c r="A342" t="s">
        <v>3</v>
      </c>
      <c r="B342" s="1">
        <v>42770</v>
      </c>
      <c r="C342" s="2" t="str">
        <f t="shared" si="67"/>
        <v>Sat</v>
      </c>
      <c r="D342" t="s">
        <v>25</v>
      </c>
      <c r="E342" t="s">
        <v>10</v>
      </c>
      <c r="F342" t="str">
        <f t="shared" si="68"/>
        <v>D</v>
      </c>
      <c r="G342">
        <f t="shared" si="69"/>
        <v>0</v>
      </c>
      <c r="H342" t="s">
        <v>32</v>
      </c>
      <c r="I342">
        <f t="shared" si="70"/>
        <v>0</v>
      </c>
      <c r="J342">
        <f t="shared" si="65"/>
        <v>32609</v>
      </c>
      <c r="K342" s="15">
        <f t="shared" si="71"/>
        <v>827</v>
      </c>
      <c r="L342" s="15">
        <f t="shared" si="72"/>
        <v>299</v>
      </c>
      <c r="M342">
        <v>24</v>
      </c>
      <c r="N342">
        <v>10</v>
      </c>
      <c r="O342">
        <v>1</v>
      </c>
      <c r="P342">
        <v>7</v>
      </c>
      <c r="Q342" s="9">
        <v>90.680999999999997</v>
      </c>
      <c r="R342">
        <v>3</v>
      </c>
      <c r="T342" s="11">
        <f t="shared" si="73"/>
        <v>22</v>
      </c>
      <c r="U342" s="11">
        <f t="shared" si="74"/>
        <v>22</v>
      </c>
      <c r="V342" t="str">
        <f t="shared" si="75"/>
        <v>CV6 6GE</v>
      </c>
      <c r="W342" t="str">
        <f t="shared" si="76"/>
        <v>SE16 3LN</v>
      </c>
      <c r="X342" s="12">
        <v>8764</v>
      </c>
      <c r="Y342" s="15">
        <f t="shared" si="66"/>
        <v>26</v>
      </c>
    </row>
    <row r="343" spans="1:25" x14ac:dyDescent="0.2">
      <c r="A343" t="s">
        <v>3</v>
      </c>
      <c r="B343" s="1">
        <v>42770</v>
      </c>
      <c r="C343" s="2" t="str">
        <f t="shared" si="67"/>
        <v>Sat</v>
      </c>
      <c r="D343" t="s">
        <v>21</v>
      </c>
      <c r="E343" t="s">
        <v>4</v>
      </c>
      <c r="F343" t="str">
        <f t="shared" si="68"/>
        <v>D</v>
      </c>
      <c r="G343">
        <f t="shared" si="69"/>
        <v>0</v>
      </c>
      <c r="H343" t="s">
        <v>32</v>
      </c>
      <c r="I343">
        <f t="shared" si="70"/>
        <v>0</v>
      </c>
      <c r="J343">
        <f t="shared" si="65"/>
        <v>30500</v>
      </c>
      <c r="K343" s="15">
        <f t="shared" si="71"/>
        <v>912</v>
      </c>
      <c r="L343" s="15">
        <f t="shared" si="72"/>
        <v>312</v>
      </c>
      <c r="M343">
        <v>15</v>
      </c>
      <c r="N343">
        <v>3</v>
      </c>
      <c r="O343">
        <v>11</v>
      </c>
      <c r="P343">
        <v>5</v>
      </c>
      <c r="Q343" s="9">
        <v>132.09800000000001</v>
      </c>
      <c r="R343">
        <v>9</v>
      </c>
      <c r="T343" s="11">
        <f t="shared" si="73"/>
        <v>22</v>
      </c>
      <c r="U343" s="11">
        <f t="shared" si="74"/>
        <v>22</v>
      </c>
      <c r="V343" t="str">
        <f t="shared" si="75"/>
        <v>MK1 1ST</v>
      </c>
      <c r="W343" t="str">
        <f t="shared" si="76"/>
        <v>BL6 6JW</v>
      </c>
      <c r="X343" s="12">
        <v>21545</v>
      </c>
      <c r="Y343" s="15">
        <f t="shared" si="66"/>
        <v>27</v>
      </c>
    </row>
    <row r="344" spans="1:25" x14ac:dyDescent="0.2">
      <c r="A344" t="s">
        <v>3</v>
      </c>
      <c r="B344" s="1">
        <v>42770</v>
      </c>
      <c r="C344" s="2" t="str">
        <f t="shared" si="67"/>
        <v>Sat</v>
      </c>
      <c r="D344" t="s">
        <v>7</v>
      </c>
      <c r="E344" t="s">
        <v>17</v>
      </c>
      <c r="F344" t="str">
        <f t="shared" si="68"/>
        <v>D</v>
      </c>
      <c r="G344">
        <f t="shared" si="69"/>
        <v>0</v>
      </c>
      <c r="H344" t="s">
        <v>32</v>
      </c>
      <c r="I344">
        <f t="shared" si="70"/>
        <v>0</v>
      </c>
      <c r="J344">
        <f t="shared" si="65"/>
        <v>18947</v>
      </c>
      <c r="K344" s="15">
        <f t="shared" si="71"/>
        <v>598</v>
      </c>
      <c r="L344" s="15">
        <f t="shared" si="72"/>
        <v>345</v>
      </c>
      <c r="M344">
        <v>18</v>
      </c>
      <c r="N344">
        <v>12</v>
      </c>
      <c r="O344">
        <v>5</v>
      </c>
      <c r="P344">
        <v>6</v>
      </c>
      <c r="Q344" s="9">
        <v>88.218999999999994</v>
      </c>
      <c r="R344">
        <v>7</v>
      </c>
      <c r="T344" s="11">
        <f t="shared" si="73"/>
        <v>22</v>
      </c>
      <c r="U344" s="11">
        <f t="shared" si="74"/>
        <v>22</v>
      </c>
      <c r="V344" t="str">
        <f t="shared" si="75"/>
        <v>ST6 1AW</v>
      </c>
      <c r="W344" t="str">
        <f t="shared" si="76"/>
        <v>PE2 8AL</v>
      </c>
      <c r="X344" s="12">
        <v>4259</v>
      </c>
      <c r="Y344" s="15">
        <f t="shared" si="66"/>
        <v>23</v>
      </c>
    </row>
    <row r="345" spans="1:25" x14ac:dyDescent="0.2">
      <c r="A345" t="s">
        <v>3</v>
      </c>
      <c r="B345" s="1">
        <v>42770</v>
      </c>
      <c r="C345" s="2" t="str">
        <f t="shared" si="67"/>
        <v>Sat</v>
      </c>
      <c r="D345" t="s">
        <v>16</v>
      </c>
      <c r="E345" t="s">
        <v>19</v>
      </c>
      <c r="F345" t="str">
        <f t="shared" si="68"/>
        <v>D</v>
      </c>
      <c r="G345">
        <f t="shared" si="69"/>
        <v>0</v>
      </c>
      <c r="H345" t="s">
        <v>32</v>
      </c>
      <c r="I345">
        <f t="shared" si="70"/>
        <v>0</v>
      </c>
      <c r="J345">
        <f t="shared" si="65"/>
        <v>10249</v>
      </c>
      <c r="K345" s="15">
        <f t="shared" si="71"/>
        <v>1159</v>
      </c>
      <c r="L345" s="15">
        <f t="shared" si="72"/>
        <v>290</v>
      </c>
      <c r="M345">
        <v>7</v>
      </c>
      <c r="N345">
        <v>10</v>
      </c>
      <c r="O345">
        <v>7</v>
      </c>
      <c r="P345">
        <v>7</v>
      </c>
      <c r="Q345" s="9">
        <v>148.53299999999999</v>
      </c>
      <c r="R345">
        <v>4</v>
      </c>
      <c r="S345" t="s">
        <v>68</v>
      </c>
      <c r="T345" s="11">
        <f t="shared" si="73"/>
        <v>17</v>
      </c>
      <c r="U345" s="11">
        <f t="shared" si="74"/>
        <v>22</v>
      </c>
      <c r="V345" t="str">
        <f t="shared" si="75"/>
        <v>OL11 5DR</v>
      </c>
      <c r="W345" t="str">
        <f t="shared" si="76"/>
        <v>BS7 0BF</v>
      </c>
      <c r="X345" s="12">
        <v>3168</v>
      </c>
      <c r="Y345" s="15">
        <f t="shared" si="66"/>
        <v>22</v>
      </c>
    </row>
    <row r="346" spans="1:25" x14ac:dyDescent="0.2">
      <c r="A346" t="s">
        <v>3</v>
      </c>
      <c r="B346" s="1">
        <v>42770</v>
      </c>
      <c r="C346" s="2" t="str">
        <f t="shared" si="67"/>
        <v>Sat</v>
      </c>
      <c r="D346" t="s">
        <v>5</v>
      </c>
      <c r="E346" t="s">
        <v>27</v>
      </c>
      <c r="F346" t="str">
        <f t="shared" si="68"/>
        <v>D</v>
      </c>
      <c r="G346">
        <f t="shared" si="69"/>
        <v>0</v>
      </c>
      <c r="H346" t="s">
        <v>32</v>
      </c>
      <c r="I346">
        <f t="shared" si="70"/>
        <v>0</v>
      </c>
      <c r="J346">
        <f t="shared" ref="J346:J409" si="77">IF(D346="AFC Wimbledon",4850,IF(D346="Bolton",28723,IF(D346="Bradford",25136,IF(D346="Bury",11841,IF(D346="Millwall",20146,IF(D346="Northampton",7653,IF(D346="Oxford",12500,IF(D346="Rochdale",10249,IF(D346="Scunthorpe",9183,IF(D346="Shrewsbury",9875,IF(D346="Southend",12392,IF(D346="Swindon",15728,IF(D346="Walsall",11300,IF(D346="Charlton",26875,IF(D346="Chesterfield",10504,IF(D346="Coventry",32609,IF(D346="Fleetwood Town",5327,IF(D346="Gillingham",11582,IF(D346="Milton Keynes Dons",30500,IF(D346="Oldham",13559,IF(D346="Peterboro",15314,IF(D346="Port Vale",18947,IF(D346="Sheffield United",32702,IF(D346="Bristol Rvs",12000))))))))))))))))))))))))</f>
        <v>32702</v>
      </c>
      <c r="K346" s="15">
        <f t="shared" si="71"/>
        <v>622</v>
      </c>
      <c r="L346" s="15">
        <f t="shared" si="72"/>
        <v>288</v>
      </c>
      <c r="M346">
        <v>2</v>
      </c>
      <c r="N346">
        <v>11</v>
      </c>
      <c r="O346">
        <v>7</v>
      </c>
      <c r="P346">
        <v>5</v>
      </c>
      <c r="Q346" s="9">
        <v>144.81100000000001</v>
      </c>
      <c r="R346">
        <v>7</v>
      </c>
      <c r="S346" t="s">
        <v>80</v>
      </c>
      <c r="T346" s="11">
        <f t="shared" si="73"/>
        <v>20</v>
      </c>
      <c r="U346" s="11">
        <f t="shared" si="74"/>
        <v>20</v>
      </c>
      <c r="V346" t="str">
        <f t="shared" si="75"/>
        <v>S2 4SU</v>
      </c>
      <c r="W346" t="str">
        <f t="shared" si="76"/>
        <v>KT1 3PB</v>
      </c>
      <c r="X346" s="12">
        <v>20549</v>
      </c>
      <c r="Y346" s="15">
        <f t="shared" si="66"/>
        <v>29</v>
      </c>
    </row>
    <row r="347" spans="1:25" x14ac:dyDescent="0.2">
      <c r="A347" t="s">
        <v>3</v>
      </c>
      <c r="B347" s="1">
        <v>42770</v>
      </c>
      <c r="C347" s="2" t="str">
        <f t="shared" si="67"/>
        <v>Sat</v>
      </c>
      <c r="D347" t="s">
        <v>20</v>
      </c>
      <c r="E347" t="s">
        <v>8</v>
      </c>
      <c r="F347" t="str">
        <f t="shared" si="68"/>
        <v>D</v>
      </c>
      <c r="G347">
        <f t="shared" si="69"/>
        <v>0</v>
      </c>
      <c r="H347" t="s">
        <v>32</v>
      </c>
      <c r="I347">
        <f t="shared" si="70"/>
        <v>0</v>
      </c>
      <c r="J347">
        <f t="shared" si="77"/>
        <v>9875</v>
      </c>
      <c r="K347" s="15">
        <f t="shared" si="71"/>
        <v>608</v>
      </c>
      <c r="L347" s="15">
        <f t="shared" si="72"/>
        <v>285</v>
      </c>
      <c r="M347">
        <v>19</v>
      </c>
      <c r="N347">
        <v>21</v>
      </c>
      <c r="O347">
        <v>11</v>
      </c>
      <c r="P347">
        <v>5</v>
      </c>
      <c r="Q347" s="9">
        <v>64.536000000000001</v>
      </c>
      <c r="R347">
        <v>3</v>
      </c>
      <c r="S347" t="s">
        <v>69</v>
      </c>
      <c r="T347" s="11">
        <f t="shared" si="73"/>
        <v>20</v>
      </c>
      <c r="U347" s="11">
        <f t="shared" si="74"/>
        <v>20</v>
      </c>
      <c r="V347" t="str">
        <f t="shared" si="75"/>
        <v>SY2 6ST</v>
      </c>
      <c r="W347" t="str">
        <f t="shared" si="76"/>
        <v>BL9 9HR</v>
      </c>
      <c r="X347" s="12">
        <v>5368</v>
      </c>
      <c r="Y347" s="15">
        <f t="shared" si="66"/>
        <v>22</v>
      </c>
    </row>
    <row r="348" spans="1:25" x14ac:dyDescent="0.2">
      <c r="A348" t="s">
        <v>3</v>
      </c>
      <c r="B348" s="1">
        <v>42770</v>
      </c>
      <c r="C348" s="2" t="str">
        <f t="shared" si="67"/>
        <v>Sat</v>
      </c>
      <c r="D348" t="s">
        <v>22</v>
      </c>
      <c r="E348" t="s">
        <v>18</v>
      </c>
      <c r="F348" t="str">
        <f t="shared" si="68"/>
        <v>D</v>
      </c>
      <c r="G348">
        <f t="shared" si="69"/>
        <v>0</v>
      </c>
      <c r="H348" t="s">
        <v>32</v>
      </c>
      <c r="I348">
        <f t="shared" si="70"/>
        <v>0</v>
      </c>
      <c r="J348">
        <f t="shared" si="77"/>
        <v>12392</v>
      </c>
      <c r="K348" s="15">
        <f t="shared" si="71"/>
        <v>508</v>
      </c>
      <c r="L348" s="15">
        <f t="shared" si="72"/>
        <v>395</v>
      </c>
      <c r="M348">
        <v>6</v>
      </c>
      <c r="N348">
        <v>1</v>
      </c>
      <c r="O348">
        <v>8</v>
      </c>
      <c r="P348">
        <v>10</v>
      </c>
      <c r="Q348" s="9">
        <v>152.68899999999999</v>
      </c>
      <c r="R348">
        <v>4</v>
      </c>
      <c r="T348" s="11">
        <f t="shared" si="73"/>
        <v>25</v>
      </c>
      <c r="U348" s="11">
        <f t="shared" si="74"/>
        <v>22</v>
      </c>
      <c r="V348" t="str">
        <f t="shared" si="75"/>
        <v>SS2 6NQ</v>
      </c>
      <c r="W348" t="str">
        <f t="shared" si="76"/>
        <v>DN15 8TD</v>
      </c>
      <c r="X348" s="12">
        <v>7346</v>
      </c>
      <c r="Y348" s="15">
        <f t="shared" si="66"/>
        <v>25</v>
      </c>
    </row>
    <row r="349" spans="1:25" x14ac:dyDescent="0.2">
      <c r="A349" t="s">
        <v>3</v>
      </c>
      <c r="B349" s="1">
        <v>42770</v>
      </c>
      <c r="C349" s="2" t="str">
        <f t="shared" si="67"/>
        <v>Sat</v>
      </c>
      <c r="D349" t="s">
        <v>26</v>
      </c>
      <c r="E349" t="s">
        <v>12</v>
      </c>
      <c r="F349" t="str">
        <f t="shared" si="68"/>
        <v>D</v>
      </c>
      <c r="G349">
        <f t="shared" si="69"/>
        <v>0</v>
      </c>
      <c r="H349" t="s">
        <v>32</v>
      </c>
      <c r="I349">
        <f t="shared" si="70"/>
        <v>0</v>
      </c>
      <c r="J349">
        <f t="shared" si="77"/>
        <v>11300</v>
      </c>
      <c r="K349" s="15">
        <f t="shared" si="71"/>
        <v>843</v>
      </c>
      <c r="L349" s="15">
        <f t="shared" si="72"/>
        <v>253</v>
      </c>
      <c r="M349">
        <v>13</v>
      </c>
      <c r="N349">
        <v>16</v>
      </c>
      <c r="O349">
        <v>11</v>
      </c>
      <c r="P349">
        <v>3</v>
      </c>
      <c r="Q349" s="9">
        <v>50.171999999999997</v>
      </c>
      <c r="R349">
        <v>4</v>
      </c>
      <c r="T349" s="11">
        <f t="shared" si="73"/>
        <v>20</v>
      </c>
      <c r="U349" s="11">
        <f t="shared" si="74"/>
        <v>20</v>
      </c>
      <c r="V349" t="str">
        <f t="shared" si="75"/>
        <v>WS1 4SA</v>
      </c>
      <c r="W349" t="str">
        <f t="shared" si="76"/>
        <v>NN5 5QA</v>
      </c>
      <c r="X349" s="12">
        <v>4954</v>
      </c>
      <c r="Y349" s="15">
        <f t="shared" si="66"/>
        <v>25.5</v>
      </c>
    </row>
    <row r="350" spans="1:25" x14ac:dyDescent="0.2">
      <c r="A350" t="s">
        <v>3</v>
      </c>
      <c r="B350" s="1">
        <v>42771</v>
      </c>
      <c r="C350" s="2" t="str">
        <f t="shared" si="67"/>
        <v>Sun</v>
      </c>
      <c r="D350" t="s">
        <v>24</v>
      </c>
      <c r="E350" t="s">
        <v>14</v>
      </c>
      <c r="F350" t="str">
        <f t="shared" si="68"/>
        <v>D</v>
      </c>
      <c r="G350">
        <f t="shared" si="69"/>
        <v>0</v>
      </c>
      <c r="H350" t="s">
        <v>32</v>
      </c>
      <c r="I350">
        <f t="shared" si="70"/>
        <v>0</v>
      </c>
      <c r="J350">
        <f t="shared" si="77"/>
        <v>15728</v>
      </c>
      <c r="K350" s="15">
        <f t="shared" si="71"/>
        <v>1000</v>
      </c>
      <c r="L350" s="15">
        <f t="shared" si="72"/>
        <v>345</v>
      </c>
      <c r="M350">
        <v>20</v>
      </c>
      <c r="N350">
        <v>15</v>
      </c>
      <c r="O350">
        <v>4</v>
      </c>
      <c r="P350">
        <v>10</v>
      </c>
      <c r="Q350" s="9">
        <v>26.204999999999998</v>
      </c>
      <c r="R350">
        <v>2</v>
      </c>
      <c r="T350" s="11">
        <f t="shared" si="73"/>
        <v>19</v>
      </c>
      <c r="U350" s="11">
        <f t="shared" si="74"/>
        <v>19</v>
      </c>
      <c r="V350" t="str">
        <f t="shared" si="75"/>
        <v>SN1 2ED</v>
      </c>
      <c r="W350" t="str">
        <f t="shared" si="76"/>
        <v>OX4 4XP</v>
      </c>
      <c r="X350" s="12">
        <v>10658</v>
      </c>
      <c r="Y350" s="15">
        <f t="shared" si="66"/>
        <v>25</v>
      </c>
    </row>
    <row r="351" spans="1:25" x14ac:dyDescent="0.2">
      <c r="A351" t="s">
        <v>3</v>
      </c>
      <c r="B351" s="1">
        <v>42773</v>
      </c>
      <c r="C351" s="2" t="str">
        <f t="shared" si="67"/>
        <v>Tue</v>
      </c>
      <c r="D351" t="s">
        <v>21</v>
      </c>
      <c r="E351" t="s">
        <v>11</v>
      </c>
      <c r="F351" t="str">
        <f t="shared" si="68"/>
        <v>E</v>
      </c>
      <c r="G351">
        <f t="shared" si="69"/>
        <v>1</v>
      </c>
      <c r="H351" t="s">
        <v>32</v>
      </c>
      <c r="I351">
        <f t="shared" si="70"/>
        <v>0</v>
      </c>
      <c r="J351">
        <f t="shared" si="77"/>
        <v>30500</v>
      </c>
      <c r="K351" s="15">
        <f t="shared" si="71"/>
        <v>729</v>
      </c>
      <c r="L351" s="15">
        <f t="shared" si="72"/>
        <v>312</v>
      </c>
      <c r="M351">
        <v>15</v>
      </c>
      <c r="N351">
        <v>20</v>
      </c>
      <c r="O351">
        <v>11</v>
      </c>
      <c r="P351">
        <v>6</v>
      </c>
      <c r="Q351" s="9">
        <v>121.607</v>
      </c>
      <c r="R351">
        <v>8</v>
      </c>
      <c r="T351" s="11">
        <f t="shared" si="73"/>
        <v>22</v>
      </c>
      <c r="U351" s="11">
        <f t="shared" si="74"/>
        <v>22</v>
      </c>
      <c r="V351" t="str">
        <f t="shared" si="75"/>
        <v>MK1 1ST</v>
      </c>
      <c r="W351" t="str">
        <f t="shared" si="76"/>
        <v>OL1 2PA</v>
      </c>
      <c r="X351" s="12">
        <v>7598</v>
      </c>
      <c r="Y351" s="15">
        <f t="shared" si="66"/>
        <v>27</v>
      </c>
    </row>
    <row r="352" spans="1:25" x14ac:dyDescent="0.2">
      <c r="A352" t="s">
        <v>3</v>
      </c>
      <c r="B352" s="1">
        <v>42777</v>
      </c>
      <c r="C352" s="2" t="str">
        <f t="shared" si="67"/>
        <v>Sat</v>
      </c>
      <c r="D352" t="s">
        <v>27</v>
      </c>
      <c r="E352" t="s">
        <v>9</v>
      </c>
      <c r="F352" t="str">
        <f t="shared" si="68"/>
        <v>D</v>
      </c>
      <c r="G352">
        <f t="shared" si="69"/>
        <v>0</v>
      </c>
      <c r="H352" t="s">
        <v>32</v>
      </c>
      <c r="I352">
        <f t="shared" si="70"/>
        <v>0</v>
      </c>
      <c r="J352">
        <f t="shared" si="77"/>
        <v>4850</v>
      </c>
      <c r="K352" s="15">
        <f t="shared" si="71"/>
        <v>680</v>
      </c>
      <c r="L352" s="15">
        <f t="shared" si="72"/>
        <v>260</v>
      </c>
      <c r="M352">
        <v>15</v>
      </c>
      <c r="N352">
        <v>12</v>
      </c>
      <c r="O352">
        <v>6</v>
      </c>
      <c r="P352">
        <v>9</v>
      </c>
      <c r="Q352" s="9">
        <v>14.811999999999999</v>
      </c>
      <c r="R352">
        <v>2</v>
      </c>
      <c r="S352" t="s">
        <v>68</v>
      </c>
      <c r="T352" s="11">
        <f t="shared" si="73"/>
        <v>17</v>
      </c>
      <c r="U352" s="11">
        <f t="shared" si="74"/>
        <v>17</v>
      </c>
      <c r="V352" t="str">
        <f t="shared" si="75"/>
        <v>KT1 3PB</v>
      </c>
      <c r="W352" t="str">
        <f t="shared" si="76"/>
        <v>SE7 8BL</v>
      </c>
      <c r="X352" s="12">
        <v>4595</v>
      </c>
      <c r="Y352" s="15">
        <f t="shared" si="66"/>
        <v>29</v>
      </c>
    </row>
    <row r="353" spans="1:25" x14ac:dyDescent="0.2">
      <c r="A353" t="s">
        <v>3</v>
      </c>
      <c r="B353" s="1">
        <v>42777</v>
      </c>
      <c r="C353" s="2" t="str">
        <f t="shared" si="67"/>
        <v>Sat</v>
      </c>
      <c r="D353" t="s">
        <v>4</v>
      </c>
      <c r="E353" t="s">
        <v>26</v>
      </c>
      <c r="F353" t="str">
        <f t="shared" si="68"/>
        <v>D</v>
      </c>
      <c r="G353">
        <f t="shared" si="69"/>
        <v>0</v>
      </c>
      <c r="H353" t="s">
        <v>32</v>
      </c>
      <c r="I353">
        <f t="shared" si="70"/>
        <v>0</v>
      </c>
      <c r="J353">
        <f t="shared" si="77"/>
        <v>28723</v>
      </c>
      <c r="K353" s="15">
        <f t="shared" si="71"/>
        <v>792</v>
      </c>
      <c r="L353" s="15">
        <f t="shared" si="72"/>
        <v>280</v>
      </c>
      <c r="M353">
        <v>3</v>
      </c>
      <c r="N353">
        <v>12</v>
      </c>
      <c r="O353">
        <v>5</v>
      </c>
      <c r="P353">
        <v>8</v>
      </c>
      <c r="Q353" s="9">
        <v>73.748999999999995</v>
      </c>
      <c r="R353">
        <v>2</v>
      </c>
      <c r="S353" t="s">
        <v>71</v>
      </c>
      <c r="T353" s="11">
        <f t="shared" si="73"/>
        <v>15</v>
      </c>
      <c r="U353" s="11">
        <f t="shared" si="74"/>
        <v>15</v>
      </c>
      <c r="V353" t="str">
        <f t="shared" si="75"/>
        <v>BL6 6JW</v>
      </c>
      <c r="W353" t="str">
        <f t="shared" si="76"/>
        <v>WS1 4SA</v>
      </c>
      <c r="X353" s="12">
        <v>13610</v>
      </c>
      <c r="Y353" s="15">
        <f t="shared" si="66"/>
        <v>30</v>
      </c>
    </row>
    <row r="354" spans="1:25" x14ac:dyDescent="0.2">
      <c r="A354" t="s">
        <v>3</v>
      </c>
      <c r="B354" s="1">
        <v>42777</v>
      </c>
      <c r="C354" s="2" t="str">
        <f t="shared" si="67"/>
        <v>Sat</v>
      </c>
      <c r="D354" t="s">
        <v>19</v>
      </c>
      <c r="E354" t="s">
        <v>6</v>
      </c>
      <c r="F354" t="str">
        <f t="shared" si="68"/>
        <v>D</v>
      </c>
      <c r="G354">
        <f t="shared" si="69"/>
        <v>0</v>
      </c>
      <c r="H354" t="s">
        <v>32</v>
      </c>
      <c r="I354">
        <f t="shared" si="70"/>
        <v>0</v>
      </c>
      <c r="J354">
        <f t="shared" si="77"/>
        <v>12000</v>
      </c>
      <c r="K354" s="15">
        <f t="shared" si="71"/>
        <v>1437</v>
      </c>
      <c r="L354" s="15">
        <f t="shared" si="72"/>
        <v>260</v>
      </c>
      <c r="M354">
        <v>10</v>
      </c>
      <c r="N354">
        <v>5</v>
      </c>
      <c r="O354">
        <v>5</v>
      </c>
      <c r="P354">
        <v>6</v>
      </c>
      <c r="Q354" s="9">
        <v>164.005</v>
      </c>
      <c r="R354">
        <v>1</v>
      </c>
      <c r="T354" s="11">
        <f t="shared" si="73"/>
        <v>18</v>
      </c>
      <c r="U354" s="11">
        <f t="shared" si="74"/>
        <v>16</v>
      </c>
      <c r="V354" t="str">
        <f t="shared" si="75"/>
        <v>BS7 0BF</v>
      </c>
      <c r="W354" t="str">
        <f t="shared" si="76"/>
        <v>BD8 7DY</v>
      </c>
      <c r="X354" s="12">
        <v>9043</v>
      </c>
      <c r="Y354" s="15">
        <f t="shared" si="66"/>
        <v>26</v>
      </c>
    </row>
    <row r="355" spans="1:25" x14ac:dyDescent="0.2">
      <c r="A355" t="s">
        <v>3</v>
      </c>
      <c r="B355" s="1">
        <v>42777</v>
      </c>
      <c r="C355" s="2" t="str">
        <f t="shared" si="67"/>
        <v>Sat</v>
      </c>
      <c r="D355" t="s">
        <v>8</v>
      </c>
      <c r="E355" t="s">
        <v>24</v>
      </c>
      <c r="F355" t="str">
        <f t="shared" si="68"/>
        <v>D</v>
      </c>
      <c r="G355">
        <f t="shared" si="69"/>
        <v>0</v>
      </c>
      <c r="H355" t="s">
        <v>32</v>
      </c>
      <c r="I355">
        <f t="shared" si="70"/>
        <v>0</v>
      </c>
      <c r="J355">
        <f t="shared" si="77"/>
        <v>11841</v>
      </c>
      <c r="K355" s="15">
        <f t="shared" si="71"/>
        <v>503</v>
      </c>
      <c r="L355" s="15">
        <f t="shared" si="72"/>
        <v>275</v>
      </c>
      <c r="M355">
        <v>22</v>
      </c>
      <c r="N355">
        <v>20</v>
      </c>
      <c r="O355">
        <v>8</v>
      </c>
      <c r="P355">
        <v>3</v>
      </c>
      <c r="Q355" s="9">
        <v>141.19499999999999</v>
      </c>
      <c r="R355">
        <v>2</v>
      </c>
      <c r="S355" t="s">
        <v>71</v>
      </c>
      <c r="T355" s="11">
        <f t="shared" si="73"/>
        <v>18</v>
      </c>
      <c r="U355" s="11">
        <f t="shared" si="74"/>
        <v>18</v>
      </c>
      <c r="V355" t="str">
        <f t="shared" si="75"/>
        <v>BL9 9HR</v>
      </c>
      <c r="W355" t="str">
        <f t="shared" si="76"/>
        <v>SN1 2ED</v>
      </c>
      <c r="X355" s="12">
        <v>2713</v>
      </c>
      <c r="Y355" s="15">
        <f t="shared" si="66"/>
        <v>22</v>
      </c>
    </row>
    <row r="356" spans="1:25" x14ac:dyDescent="0.2">
      <c r="A356" t="s">
        <v>3</v>
      </c>
      <c r="B356" s="1">
        <v>42777</v>
      </c>
      <c r="C356" s="2" t="str">
        <f t="shared" si="67"/>
        <v>Sat</v>
      </c>
      <c r="D356" t="s">
        <v>13</v>
      </c>
      <c r="E356" t="s">
        <v>16</v>
      </c>
      <c r="F356" t="str">
        <f t="shared" si="68"/>
        <v>D</v>
      </c>
      <c r="G356">
        <f t="shared" si="69"/>
        <v>0</v>
      </c>
      <c r="H356" t="s">
        <v>32</v>
      </c>
      <c r="I356">
        <f t="shared" si="70"/>
        <v>0</v>
      </c>
      <c r="J356">
        <f t="shared" si="77"/>
        <v>5327</v>
      </c>
      <c r="K356" s="15">
        <f t="shared" si="71"/>
        <v>497</v>
      </c>
      <c r="L356" s="15">
        <f t="shared" si="72"/>
        <v>210</v>
      </c>
      <c r="M356">
        <v>4</v>
      </c>
      <c r="N356">
        <v>7</v>
      </c>
      <c r="O356">
        <v>9</v>
      </c>
      <c r="P356">
        <v>5</v>
      </c>
      <c r="Q356" s="9">
        <v>40.146000000000001</v>
      </c>
      <c r="R356">
        <v>5</v>
      </c>
      <c r="S356" t="s">
        <v>68</v>
      </c>
      <c r="T356" s="11">
        <f t="shared" si="73"/>
        <v>21.5</v>
      </c>
      <c r="U356" s="11">
        <f t="shared" si="74"/>
        <v>21.5</v>
      </c>
      <c r="V356" t="str">
        <f t="shared" si="75"/>
        <v>FY7 6TX</v>
      </c>
      <c r="W356" t="str">
        <f t="shared" si="76"/>
        <v>OL11 5DR</v>
      </c>
      <c r="X356" s="12">
        <v>3186</v>
      </c>
      <c r="Y356" s="15">
        <f t="shared" si="66"/>
        <v>23.5</v>
      </c>
    </row>
    <row r="357" spans="1:25" x14ac:dyDescent="0.2">
      <c r="A357" t="s">
        <v>3</v>
      </c>
      <c r="B357" s="1">
        <v>42777</v>
      </c>
      <c r="C357" s="2" t="str">
        <f t="shared" si="67"/>
        <v>Sat</v>
      </c>
      <c r="D357" t="s">
        <v>23</v>
      </c>
      <c r="E357" t="s">
        <v>7</v>
      </c>
      <c r="F357" t="str">
        <f t="shared" si="68"/>
        <v>D</v>
      </c>
      <c r="G357">
        <f t="shared" si="69"/>
        <v>0</v>
      </c>
      <c r="H357" t="s">
        <v>32</v>
      </c>
      <c r="I357">
        <f t="shared" si="70"/>
        <v>0</v>
      </c>
      <c r="J357">
        <f t="shared" si="77"/>
        <v>11582</v>
      </c>
      <c r="K357" s="15">
        <f t="shared" si="71"/>
        <v>697</v>
      </c>
      <c r="L357" s="15">
        <f t="shared" si="72"/>
        <v>285</v>
      </c>
      <c r="M357">
        <v>16</v>
      </c>
      <c r="N357">
        <v>18</v>
      </c>
      <c r="O357">
        <v>4</v>
      </c>
      <c r="P357">
        <v>3</v>
      </c>
      <c r="Q357" s="9">
        <v>163.893</v>
      </c>
      <c r="R357">
        <v>3</v>
      </c>
      <c r="T357" s="11">
        <f t="shared" si="73"/>
        <v>12</v>
      </c>
      <c r="U357" s="11">
        <f t="shared" si="74"/>
        <v>10</v>
      </c>
      <c r="V357" t="str">
        <f t="shared" si="75"/>
        <v>ME7 4DD</v>
      </c>
      <c r="W357" t="str">
        <f t="shared" si="76"/>
        <v>ST6 1AW</v>
      </c>
      <c r="X357" s="12">
        <v>4942</v>
      </c>
      <c r="Y357" s="15">
        <f t="shared" si="66"/>
        <v>28</v>
      </c>
    </row>
    <row r="358" spans="1:25" x14ac:dyDescent="0.2">
      <c r="A358" t="s">
        <v>3</v>
      </c>
      <c r="B358" s="1">
        <v>42777</v>
      </c>
      <c r="C358" s="2" t="str">
        <f t="shared" si="67"/>
        <v>Sat</v>
      </c>
      <c r="D358" t="s">
        <v>10</v>
      </c>
      <c r="E358" t="s">
        <v>22</v>
      </c>
      <c r="F358" t="str">
        <f t="shared" si="68"/>
        <v>D</v>
      </c>
      <c r="G358">
        <f t="shared" si="69"/>
        <v>0</v>
      </c>
      <c r="H358" t="s">
        <v>32</v>
      </c>
      <c r="I358">
        <f t="shared" si="70"/>
        <v>0</v>
      </c>
      <c r="J358">
        <f t="shared" si="77"/>
        <v>20146</v>
      </c>
      <c r="K358" s="15">
        <f t="shared" si="71"/>
        <v>635</v>
      </c>
      <c r="L358" s="15">
        <f t="shared" si="72"/>
        <v>333</v>
      </c>
      <c r="M358">
        <v>8</v>
      </c>
      <c r="N358">
        <v>6</v>
      </c>
      <c r="O358">
        <v>9</v>
      </c>
      <c r="P358">
        <v>7</v>
      </c>
      <c r="Q358" s="9">
        <v>32.704000000000001</v>
      </c>
      <c r="R358">
        <v>2</v>
      </c>
      <c r="S358" t="s">
        <v>71</v>
      </c>
      <c r="T358" s="11">
        <f t="shared" si="73"/>
        <v>22</v>
      </c>
      <c r="U358" s="11">
        <f t="shared" si="74"/>
        <v>23</v>
      </c>
      <c r="V358" t="str">
        <f t="shared" si="75"/>
        <v>SE16 3LN</v>
      </c>
      <c r="W358" t="str">
        <f t="shared" si="76"/>
        <v>SS2 6NQ</v>
      </c>
      <c r="X358" s="12">
        <v>10323</v>
      </c>
      <c r="Y358" s="15">
        <f t="shared" si="66"/>
        <v>30</v>
      </c>
    </row>
    <row r="359" spans="1:25" x14ac:dyDescent="0.2">
      <c r="A359" t="s">
        <v>3</v>
      </c>
      <c r="B359" s="1">
        <v>42777</v>
      </c>
      <c r="C359" s="2" t="str">
        <f t="shared" si="67"/>
        <v>Sat</v>
      </c>
      <c r="D359" t="s">
        <v>12</v>
      </c>
      <c r="E359" t="s">
        <v>15</v>
      </c>
      <c r="F359" t="str">
        <f t="shared" si="68"/>
        <v>D</v>
      </c>
      <c r="G359">
        <f t="shared" si="69"/>
        <v>0</v>
      </c>
      <c r="H359" t="s">
        <v>32</v>
      </c>
      <c r="I359">
        <f t="shared" si="70"/>
        <v>0</v>
      </c>
      <c r="J359">
        <f t="shared" si="77"/>
        <v>7653</v>
      </c>
      <c r="K359" s="15">
        <f t="shared" si="71"/>
        <v>583</v>
      </c>
      <c r="L359" s="15">
        <f t="shared" si="72"/>
        <v>249</v>
      </c>
      <c r="M359">
        <v>16</v>
      </c>
      <c r="N359">
        <v>23</v>
      </c>
      <c r="O359">
        <v>6</v>
      </c>
      <c r="P359">
        <v>4</v>
      </c>
      <c r="Q359" s="9">
        <v>73.394000000000005</v>
      </c>
      <c r="R359">
        <v>7</v>
      </c>
      <c r="T359" s="11">
        <f t="shared" si="73"/>
        <v>24</v>
      </c>
      <c r="U359" s="11">
        <f t="shared" si="74"/>
        <v>24</v>
      </c>
      <c r="V359" t="str">
        <f t="shared" si="75"/>
        <v>NN5 5QA</v>
      </c>
      <c r="W359" t="str">
        <f t="shared" si="76"/>
        <v>S41 8NZ</v>
      </c>
      <c r="X359" s="12">
        <v>5824</v>
      </c>
      <c r="Y359" s="15">
        <f t="shared" si="66"/>
        <v>24</v>
      </c>
    </row>
    <row r="360" spans="1:25" x14ac:dyDescent="0.2">
      <c r="A360" t="s">
        <v>3</v>
      </c>
      <c r="B360" s="1">
        <v>42777</v>
      </c>
      <c r="C360" s="2" t="str">
        <f t="shared" si="67"/>
        <v>Sat</v>
      </c>
      <c r="D360" t="s">
        <v>11</v>
      </c>
      <c r="E360" t="s">
        <v>25</v>
      </c>
      <c r="F360" t="str">
        <f t="shared" si="68"/>
        <v>D</v>
      </c>
      <c r="G360">
        <f t="shared" si="69"/>
        <v>0</v>
      </c>
      <c r="H360" t="s">
        <v>32</v>
      </c>
      <c r="I360">
        <f t="shared" si="70"/>
        <v>0</v>
      </c>
      <c r="J360">
        <f t="shared" si="77"/>
        <v>13559</v>
      </c>
      <c r="K360" s="15">
        <f t="shared" si="71"/>
        <v>1280</v>
      </c>
      <c r="L360" s="15">
        <f t="shared" si="72"/>
        <v>300</v>
      </c>
      <c r="M360">
        <v>21</v>
      </c>
      <c r="N360">
        <v>24</v>
      </c>
      <c r="O360">
        <v>9</v>
      </c>
      <c r="P360">
        <v>0</v>
      </c>
      <c r="Q360" s="9">
        <v>80.882000000000005</v>
      </c>
      <c r="R360">
        <v>4</v>
      </c>
      <c r="T360" s="11">
        <f t="shared" si="73"/>
        <v>22</v>
      </c>
      <c r="U360" s="11">
        <f t="shared" si="74"/>
        <v>24</v>
      </c>
      <c r="V360" t="str">
        <f t="shared" si="75"/>
        <v>OL1 2PA</v>
      </c>
      <c r="W360" t="str">
        <f t="shared" si="76"/>
        <v>CV6 6GE</v>
      </c>
      <c r="X360" s="12">
        <v>3766</v>
      </c>
      <c r="Y360" s="15">
        <f t="shared" si="66"/>
        <v>24</v>
      </c>
    </row>
    <row r="361" spans="1:25" x14ac:dyDescent="0.2">
      <c r="A361" t="s">
        <v>3</v>
      </c>
      <c r="B361" s="1">
        <v>42777</v>
      </c>
      <c r="C361" s="2" t="str">
        <f t="shared" si="67"/>
        <v>Sat</v>
      </c>
      <c r="D361" t="s">
        <v>14</v>
      </c>
      <c r="E361" t="s">
        <v>21</v>
      </c>
      <c r="F361" t="str">
        <f t="shared" si="68"/>
        <v>D</v>
      </c>
      <c r="G361">
        <f t="shared" si="69"/>
        <v>0</v>
      </c>
      <c r="H361" t="s">
        <v>32</v>
      </c>
      <c r="I361">
        <f t="shared" si="70"/>
        <v>0</v>
      </c>
      <c r="J361">
        <f t="shared" si="77"/>
        <v>12500</v>
      </c>
      <c r="K361" s="15">
        <f t="shared" si="71"/>
        <v>596</v>
      </c>
      <c r="L361" s="15">
        <f t="shared" si="72"/>
        <v>290</v>
      </c>
      <c r="M361">
        <v>14</v>
      </c>
      <c r="N361">
        <v>15</v>
      </c>
      <c r="O361">
        <v>12</v>
      </c>
      <c r="P361">
        <v>10</v>
      </c>
      <c r="Q361" s="9">
        <v>28.696000000000002</v>
      </c>
      <c r="R361">
        <v>1</v>
      </c>
      <c r="S361" t="s">
        <v>71</v>
      </c>
      <c r="T361" s="11">
        <f t="shared" si="73"/>
        <v>20</v>
      </c>
      <c r="U361" s="11">
        <f t="shared" si="74"/>
        <v>21</v>
      </c>
      <c r="V361" t="str">
        <f t="shared" si="75"/>
        <v>OX4 4XP</v>
      </c>
      <c r="W361" t="str">
        <f t="shared" si="76"/>
        <v>MK1 1ST</v>
      </c>
      <c r="X361" s="12">
        <v>9179</v>
      </c>
      <c r="Y361" s="15">
        <f t="shared" si="66"/>
        <v>24</v>
      </c>
    </row>
    <row r="362" spans="1:25" x14ac:dyDescent="0.2">
      <c r="A362" t="s">
        <v>3</v>
      </c>
      <c r="B362" s="1">
        <v>42777</v>
      </c>
      <c r="C362" s="2" t="str">
        <f t="shared" si="67"/>
        <v>Sat</v>
      </c>
      <c r="D362" t="s">
        <v>17</v>
      </c>
      <c r="E362" t="s">
        <v>5</v>
      </c>
      <c r="F362" t="str">
        <f t="shared" si="68"/>
        <v>D</v>
      </c>
      <c r="G362">
        <f t="shared" si="69"/>
        <v>0</v>
      </c>
      <c r="H362" t="s">
        <v>32</v>
      </c>
      <c r="I362">
        <f t="shared" si="70"/>
        <v>0</v>
      </c>
      <c r="J362">
        <f t="shared" si="77"/>
        <v>15314</v>
      </c>
      <c r="K362" s="15">
        <f t="shared" si="71"/>
        <v>1622</v>
      </c>
      <c r="L362" s="15">
        <f t="shared" si="72"/>
        <v>295</v>
      </c>
      <c r="M362">
        <v>10</v>
      </c>
      <c r="N362">
        <v>1</v>
      </c>
      <c r="O362">
        <v>6</v>
      </c>
      <c r="P362">
        <v>7</v>
      </c>
      <c r="Q362" s="9">
        <v>75.653000000000006</v>
      </c>
      <c r="R362">
        <v>1</v>
      </c>
      <c r="T362" s="11">
        <f t="shared" si="73"/>
        <v>21</v>
      </c>
      <c r="U362" s="11">
        <f t="shared" si="74"/>
        <v>20</v>
      </c>
      <c r="V362" t="str">
        <f t="shared" si="75"/>
        <v>PE2 8AL</v>
      </c>
      <c r="W362" t="str">
        <f t="shared" si="76"/>
        <v>S2 4SU</v>
      </c>
      <c r="X362" s="12">
        <v>10258</v>
      </c>
      <c r="Y362" s="15">
        <f t="shared" si="66"/>
        <v>26</v>
      </c>
    </row>
    <row r="363" spans="1:25" x14ac:dyDescent="0.2">
      <c r="A363" t="s">
        <v>3</v>
      </c>
      <c r="B363" s="1">
        <v>42777</v>
      </c>
      <c r="C363" s="2" t="str">
        <f t="shared" si="67"/>
        <v>Sat</v>
      </c>
      <c r="D363" t="s">
        <v>18</v>
      </c>
      <c r="E363" t="s">
        <v>20</v>
      </c>
      <c r="F363" t="str">
        <f t="shared" si="68"/>
        <v>D</v>
      </c>
      <c r="G363">
        <f t="shared" si="69"/>
        <v>0</v>
      </c>
      <c r="H363" t="s">
        <v>32</v>
      </c>
      <c r="I363">
        <f t="shared" si="70"/>
        <v>0</v>
      </c>
      <c r="J363">
        <f t="shared" si="77"/>
        <v>9183</v>
      </c>
      <c r="K363" s="15">
        <f t="shared" si="71"/>
        <v>438</v>
      </c>
      <c r="L363" s="15">
        <f t="shared" si="72"/>
        <v>288</v>
      </c>
      <c r="M363">
        <v>2</v>
      </c>
      <c r="N363">
        <v>19</v>
      </c>
      <c r="O363">
        <v>9</v>
      </c>
      <c r="P363">
        <v>13</v>
      </c>
      <c r="Q363" s="9">
        <v>105.414</v>
      </c>
      <c r="R363">
        <v>3</v>
      </c>
      <c r="S363" t="s">
        <v>71</v>
      </c>
      <c r="T363" s="11">
        <f t="shared" si="73"/>
        <v>18</v>
      </c>
      <c r="U363" s="11">
        <f t="shared" si="74"/>
        <v>22</v>
      </c>
      <c r="V363" t="str">
        <f t="shared" si="75"/>
        <v>DN15 8TD</v>
      </c>
      <c r="W363" t="str">
        <f t="shared" si="76"/>
        <v>SY2 6ST</v>
      </c>
      <c r="X363" s="12">
        <v>4367</v>
      </c>
      <c r="Y363" s="15">
        <f t="shared" si="66"/>
        <v>23</v>
      </c>
    </row>
    <row r="364" spans="1:25" x14ac:dyDescent="0.2">
      <c r="A364" t="s">
        <v>3</v>
      </c>
      <c r="B364" s="1">
        <v>42780</v>
      </c>
      <c r="C364" s="2" t="str">
        <f t="shared" si="67"/>
        <v>Tue</v>
      </c>
      <c r="D364" t="s">
        <v>27</v>
      </c>
      <c r="E364" t="s">
        <v>25</v>
      </c>
      <c r="F364" t="str">
        <f t="shared" si="68"/>
        <v>E</v>
      </c>
      <c r="G364">
        <f t="shared" si="69"/>
        <v>1</v>
      </c>
      <c r="H364" t="s">
        <v>32</v>
      </c>
      <c r="I364">
        <f t="shared" si="70"/>
        <v>0</v>
      </c>
      <c r="J364">
        <f t="shared" si="77"/>
        <v>4850</v>
      </c>
      <c r="K364" s="15">
        <f t="shared" si="71"/>
        <v>1280</v>
      </c>
      <c r="L364" s="15">
        <f t="shared" si="72"/>
        <v>260</v>
      </c>
      <c r="M364">
        <v>15</v>
      </c>
      <c r="N364">
        <v>24</v>
      </c>
      <c r="O364">
        <v>6</v>
      </c>
      <c r="P364">
        <v>1</v>
      </c>
      <c r="Q364" s="9">
        <v>88.808000000000007</v>
      </c>
      <c r="R364">
        <v>10</v>
      </c>
      <c r="T364" s="11">
        <f t="shared" si="73"/>
        <v>17</v>
      </c>
      <c r="U364" s="11">
        <f t="shared" si="74"/>
        <v>17</v>
      </c>
      <c r="V364" t="str">
        <f t="shared" si="75"/>
        <v>KT1 3PB</v>
      </c>
      <c r="W364" t="str">
        <f t="shared" si="76"/>
        <v>CV6 6GE</v>
      </c>
      <c r="X364" s="12">
        <v>4022</v>
      </c>
      <c r="Y364" s="15">
        <f t="shared" si="66"/>
        <v>29</v>
      </c>
    </row>
    <row r="365" spans="1:25" x14ac:dyDescent="0.2">
      <c r="A365" t="s">
        <v>3</v>
      </c>
      <c r="B365" s="1">
        <v>42780</v>
      </c>
      <c r="C365" s="2" t="str">
        <f t="shared" si="67"/>
        <v>Tue</v>
      </c>
      <c r="D365" t="s">
        <v>4</v>
      </c>
      <c r="E365" t="s">
        <v>16</v>
      </c>
      <c r="F365" t="str">
        <f t="shared" si="68"/>
        <v>E</v>
      </c>
      <c r="G365">
        <f t="shared" si="69"/>
        <v>1</v>
      </c>
      <c r="H365" t="s">
        <v>32</v>
      </c>
      <c r="I365">
        <f t="shared" si="70"/>
        <v>0</v>
      </c>
      <c r="J365">
        <f t="shared" si="77"/>
        <v>28723</v>
      </c>
      <c r="K365" s="15">
        <f t="shared" si="71"/>
        <v>497</v>
      </c>
      <c r="L365" s="15">
        <f t="shared" si="72"/>
        <v>280</v>
      </c>
      <c r="M365">
        <v>2</v>
      </c>
      <c r="N365">
        <v>8</v>
      </c>
      <c r="O365">
        <v>7</v>
      </c>
      <c r="P365">
        <v>2</v>
      </c>
      <c r="Q365" s="9">
        <v>14.87</v>
      </c>
      <c r="R365">
        <v>6</v>
      </c>
      <c r="T365" s="11">
        <f t="shared" si="73"/>
        <v>15</v>
      </c>
      <c r="U365" s="11">
        <f t="shared" si="74"/>
        <v>15</v>
      </c>
      <c r="V365" t="str">
        <f t="shared" si="75"/>
        <v>BL6 6JW</v>
      </c>
      <c r="W365" t="str">
        <f t="shared" si="76"/>
        <v>OL11 5DR</v>
      </c>
      <c r="X365" s="12">
        <v>13313</v>
      </c>
      <c r="Y365" s="15">
        <f t="shared" si="66"/>
        <v>30</v>
      </c>
    </row>
    <row r="366" spans="1:25" x14ac:dyDescent="0.2">
      <c r="A366" t="s">
        <v>3</v>
      </c>
      <c r="B366" s="1">
        <v>42780</v>
      </c>
      <c r="C366" s="2" t="str">
        <f t="shared" si="67"/>
        <v>Tue</v>
      </c>
      <c r="D366" t="s">
        <v>19</v>
      </c>
      <c r="E366" t="s">
        <v>5</v>
      </c>
      <c r="F366" t="str">
        <f t="shared" si="68"/>
        <v>E</v>
      </c>
      <c r="G366">
        <f t="shared" si="69"/>
        <v>1</v>
      </c>
      <c r="H366" t="s">
        <v>32</v>
      </c>
      <c r="I366">
        <f t="shared" si="70"/>
        <v>0</v>
      </c>
      <c r="J366">
        <f t="shared" si="77"/>
        <v>12000</v>
      </c>
      <c r="K366" s="15">
        <f t="shared" si="71"/>
        <v>1622</v>
      </c>
      <c r="L366" s="15">
        <f t="shared" si="72"/>
        <v>260</v>
      </c>
      <c r="M366">
        <v>10</v>
      </c>
      <c r="N366">
        <v>1</v>
      </c>
      <c r="O366">
        <v>6</v>
      </c>
      <c r="P366">
        <v>8</v>
      </c>
      <c r="Q366" s="9">
        <v>138.51300000000001</v>
      </c>
      <c r="R366">
        <v>7</v>
      </c>
      <c r="T366" s="11">
        <f t="shared" si="73"/>
        <v>18</v>
      </c>
      <c r="U366" s="11">
        <f t="shared" si="74"/>
        <v>16</v>
      </c>
      <c r="V366" t="str">
        <f t="shared" si="75"/>
        <v>BS7 0BF</v>
      </c>
      <c r="W366" t="str">
        <f t="shared" si="76"/>
        <v>S2 4SU</v>
      </c>
      <c r="X366" s="12">
        <v>9175</v>
      </c>
      <c r="Y366" s="15">
        <f t="shared" si="66"/>
        <v>26</v>
      </c>
    </row>
    <row r="367" spans="1:25" x14ac:dyDescent="0.2">
      <c r="A367" t="s">
        <v>3</v>
      </c>
      <c r="B367" s="1">
        <v>42780</v>
      </c>
      <c r="C367" s="2" t="str">
        <f t="shared" si="67"/>
        <v>Tue</v>
      </c>
      <c r="D367" t="s">
        <v>8</v>
      </c>
      <c r="E367" t="s">
        <v>21</v>
      </c>
      <c r="F367" t="str">
        <f t="shared" si="68"/>
        <v>E</v>
      </c>
      <c r="G367">
        <f t="shared" si="69"/>
        <v>1</v>
      </c>
      <c r="H367" t="s">
        <v>32</v>
      </c>
      <c r="I367">
        <f t="shared" si="70"/>
        <v>0</v>
      </c>
      <c r="J367">
        <f t="shared" si="77"/>
        <v>11841</v>
      </c>
      <c r="K367" s="15">
        <f t="shared" si="71"/>
        <v>596</v>
      </c>
      <c r="L367" s="15">
        <f t="shared" si="72"/>
        <v>275</v>
      </c>
      <c r="M367">
        <v>21</v>
      </c>
      <c r="N367">
        <v>15</v>
      </c>
      <c r="O367">
        <v>6</v>
      </c>
      <c r="P367">
        <v>8</v>
      </c>
      <c r="Q367" s="9">
        <v>126.667</v>
      </c>
      <c r="R367">
        <v>6</v>
      </c>
      <c r="T367" s="11">
        <f t="shared" si="73"/>
        <v>18</v>
      </c>
      <c r="U367" s="11">
        <f t="shared" si="74"/>
        <v>18</v>
      </c>
      <c r="V367" t="str">
        <f t="shared" si="75"/>
        <v>BL9 9HR</v>
      </c>
      <c r="W367" t="str">
        <f t="shared" si="76"/>
        <v>MK1 1ST</v>
      </c>
      <c r="X367" s="12">
        <v>2005</v>
      </c>
      <c r="Y367" s="15">
        <f t="shared" si="66"/>
        <v>22</v>
      </c>
    </row>
    <row r="368" spans="1:25" x14ac:dyDescent="0.2">
      <c r="A368" t="s">
        <v>3</v>
      </c>
      <c r="B368" s="1">
        <v>42780</v>
      </c>
      <c r="C368" s="2" t="str">
        <f t="shared" si="67"/>
        <v>Tue</v>
      </c>
      <c r="D368" t="s">
        <v>13</v>
      </c>
      <c r="E368" t="s">
        <v>6</v>
      </c>
      <c r="F368" t="str">
        <f t="shared" si="68"/>
        <v>E</v>
      </c>
      <c r="G368">
        <f t="shared" si="69"/>
        <v>1</v>
      </c>
      <c r="H368" t="s">
        <v>32</v>
      </c>
      <c r="I368">
        <f t="shared" si="70"/>
        <v>0</v>
      </c>
      <c r="J368">
        <f t="shared" si="77"/>
        <v>5327</v>
      </c>
      <c r="K368" s="15">
        <f t="shared" si="71"/>
        <v>1437</v>
      </c>
      <c r="L368" s="15">
        <f t="shared" si="72"/>
        <v>210</v>
      </c>
      <c r="M368">
        <v>4</v>
      </c>
      <c r="N368">
        <v>5</v>
      </c>
      <c r="O368">
        <v>9</v>
      </c>
      <c r="P368">
        <v>6</v>
      </c>
      <c r="Q368" s="9">
        <v>52.134</v>
      </c>
      <c r="R368">
        <v>7</v>
      </c>
      <c r="S368" t="s">
        <v>74</v>
      </c>
      <c r="T368" s="11">
        <f t="shared" si="73"/>
        <v>21.5</v>
      </c>
      <c r="U368" s="11">
        <f t="shared" si="74"/>
        <v>21.5</v>
      </c>
      <c r="V368" t="str">
        <f t="shared" si="75"/>
        <v>FY7 6TX</v>
      </c>
      <c r="W368" t="str">
        <f t="shared" si="76"/>
        <v>BD8 7DY</v>
      </c>
      <c r="X368" s="12">
        <v>3418</v>
      </c>
      <c r="Y368" s="15">
        <f t="shared" si="66"/>
        <v>23.5</v>
      </c>
    </row>
    <row r="369" spans="1:25" x14ac:dyDescent="0.2">
      <c r="A369" t="s">
        <v>3</v>
      </c>
      <c r="B369" s="1">
        <v>42780</v>
      </c>
      <c r="C369" s="2" t="str">
        <f t="shared" si="67"/>
        <v>Tue</v>
      </c>
      <c r="D369" t="s">
        <v>23</v>
      </c>
      <c r="E369" t="s">
        <v>15</v>
      </c>
      <c r="F369" t="str">
        <f t="shared" si="68"/>
        <v>E</v>
      </c>
      <c r="G369">
        <f t="shared" si="69"/>
        <v>1</v>
      </c>
      <c r="H369" t="s">
        <v>32</v>
      </c>
      <c r="I369">
        <f t="shared" si="70"/>
        <v>0</v>
      </c>
      <c r="J369">
        <f t="shared" si="77"/>
        <v>11582</v>
      </c>
      <c r="K369" s="15">
        <f t="shared" si="71"/>
        <v>583</v>
      </c>
      <c r="L369" s="15">
        <f t="shared" si="72"/>
        <v>285</v>
      </c>
      <c r="M369">
        <v>18</v>
      </c>
      <c r="N369">
        <v>23</v>
      </c>
      <c r="O369">
        <v>5</v>
      </c>
      <c r="P369">
        <v>5</v>
      </c>
      <c r="Q369" s="9">
        <v>154.102</v>
      </c>
      <c r="R369">
        <v>9</v>
      </c>
      <c r="T369" s="11">
        <f t="shared" si="73"/>
        <v>12</v>
      </c>
      <c r="U369" s="11">
        <f t="shared" si="74"/>
        <v>10</v>
      </c>
      <c r="V369" t="str">
        <f t="shared" si="75"/>
        <v>ME7 4DD</v>
      </c>
      <c r="W369" t="str">
        <f t="shared" si="76"/>
        <v>S41 8NZ</v>
      </c>
      <c r="X369" s="12">
        <v>4595</v>
      </c>
      <c r="Y369" s="15">
        <f t="shared" si="66"/>
        <v>28</v>
      </c>
    </row>
    <row r="370" spans="1:25" x14ac:dyDescent="0.2">
      <c r="A370" t="s">
        <v>3</v>
      </c>
      <c r="B370" s="1">
        <v>42780</v>
      </c>
      <c r="C370" s="2" t="str">
        <f t="shared" si="67"/>
        <v>Tue</v>
      </c>
      <c r="D370" t="s">
        <v>10</v>
      </c>
      <c r="E370" t="s">
        <v>7</v>
      </c>
      <c r="F370" t="str">
        <f t="shared" si="68"/>
        <v>E</v>
      </c>
      <c r="G370">
        <f t="shared" si="69"/>
        <v>1</v>
      </c>
      <c r="H370" t="s">
        <v>32</v>
      </c>
      <c r="I370">
        <f t="shared" si="70"/>
        <v>0</v>
      </c>
      <c r="J370">
        <f t="shared" si="77"/>
        <v>20146</v>
      </c>
      <c r="K370" s="15">
        <f t="shared" si="71"/>
        <v>697</v>
      </c>
      <c r="L370" s="15">
        <f t="shared" si="72"/>
        <v>333</v>
      </c>
      <c r="M370">
        <v>7</v>
      </c>
      <c r="N370">
        <v>19</v>
      </c>
      <c r="O370">
        <v>11</v>
      </c>
      <c r="P370">
        <v>2</v>
      </c>
      <c r="Q370" s="9">
        <v>141.09</v>
      </c>
      <c r="R370">
        <v>7</v>
      </c>
      <c r="T370" s="11">
        <f t="shared" si="73"/>
        <v>22</v>
      </c>
      <c r="U370" s="11">
        <f t="shared" si="74"/>
        <v>23</v>
      </c>
      <c r="V370" t="str">
        <f t="shared" si="75"/>
        <v>SE16 3LN</v>
      </c>
      <c r="W370" t="str">
        <f t="shared" si="76"/>
        <v>ST6 1AW</v>
      </c>
      <c r="X370" s="12">
        <v>7032</v>
      </c>
      <c r="Y370" s="15">
        <f t="shared" si="66"/>
        <v>30</v>
      </c>
    </row>
    <row r="371" spans="1:25" x14ac:dyDescent="0.2">
      <c r="A371" t="s">
        <v>3</v>
      </c>
      <c r="B371" s="1">
        <v>42780</v>
      </c>
      <c r="C371" s="2" t="str">
        <f t="shared" si="67"/>
        <v>Tue</v>
      </c>
      <c r="D371" t="s">
        <v>12</v>
      </c>
      <c r="E371" t="s">
        <v>24</v>
      </c>
      <c r="F371" t="str">
        <f t="shared" si="68"/>
        <v>E</v>
      </c>
      <c r="G371">
        <f t="shared" si="69"/>
        <v>1</v>
      </c>
      <c r="H371" t="s">
        <v>32</v>
      </c>
      <c r="I371">
        <f t="shared" si="70"/>
        <v>0</v>
      </c>
      <c r="J371">
        <f t="shared" si="77"/>
        <v>7653</v>
      </c>
      <c r="K371" s="15">
        <f t="shared" si="71"/>
        <v>503</v>
      </c>
      <c r="L371" s="15">
        <f t="shared" si="72"/>
        <v>249</v>
      </c>
      <c r="M371">
        <v>16</v>
      </c>
      <c r="N371">
        <v>22</v>
      </c>
      <c r="O371">
        <v>9</v>
      </c>
      <c r="P371">
        <v>0</v>
      </c>
      <c r="Q371" s="9">
        <v>58.548000000000002</v>
      </c>
      <c r="R371">
        <v>8</v>
      </c>
      <c r="T371" s="11">
        <f t="shared" si="73"/>
        <v>24</v>
      </c>
      <c r="U371" s="11">
        <f t="shared" si="74"/>
        <v>24</v>
      </c>
      <c r="V371" t="str">
        <f t="shared" si="75"/>
        <v>NN5 5QA</v>
      </c>
      <c r="W371" t="str">
        <f t="shared" si="76"/>
        <v>SN1 2ED</v>
      </c>
      <c r="X371" s="12">
        <v>5094</v>
      </c>
      <c r="Y371" s="15">
        <f t="shared" si="66"/>
        <v>24</v>
      </c>
    </row>
    <row r="372" spans="1:25" x14ac:dyDescent="0.2">
      <c r="A372" t="s">
        <v>3</v>
      </c>
      <c r="B372" s="1">
        <v>42780</v>
      </c>
      <c r="C372" s="2" t="str">
        <f t="shared" si="67"/>
        <v>Tue</v>
      </c>
      <c r="D372" t="s">
        <v>11</v>
      </c>
      <c r="E372" t="s">
        <v>9</v>
      </c>
      <c r="F372" t="str">
        <f t="shared" si="68"/>
        <v>E</v>
      </c>
      <c r="G372">
        <f t="shared" si="69"/>
        <v>1</v>
      </c>
      <c r="H372" t="s">
        <v>32</v>
      </c>
      <c r="I372">
        <f t="shared" si="70"/>
        <v>0</v>
      </c>
      <c r="J372">
        <f t="shared" si="77"/>
        <v>13559</v>
      </c>
      <c r="K372" s="15">
        <f t="shared" si="71"/>
        <v>680</v>
      </c>
      <c r="L372" s="15">
        <f t="shared" si="72"/>
        <v>300</v>
      </c>
      <c r="M372">
        <v>20</v>
      </c>
      <c r="N372">
        <v>13</v>
      </c>
      <c r="O372">
        <v>9</v>
      </c>
      <c r="P372">
        <v>6</v>
      </c>
      <c r="Q372" s="9">
        <v>169.59100000000001</v>
      </c>
      <c r="R372">
        <v>7</v>
      </c>
      <c r="T372" s="11">
        <f t="shared" si="73"/>
        <v>22</v>
      </c>
      <c r="U372" s="11">
        <f t="shared" si="74"/>
        <v>24</v>
      </c>
      <c r="V372" t="str">
        <f t="shared" si="75"/>
        <v>OL1 2PA</v>
      </c>
      <c r="W372" t="str">
        <f t="shared" si="76"/>
        <v>SE7 8BL</v>
      </c>
      <c r="X372" s="12">
        <v>2946</v>
      </c>
      <c r="Y372" s="15">
        <f t="shared" si="66"/>
        <v>24</v>
      </c>
    </row>
    <row r="373" spans="1:25" x14ac:dyDescent="0.2">
      <c r="A373" t="s">
        <v>3</v>
      </c>
      <c r="B373" s="1">
        <v>42780</v>
      </c>
      <c r="C373" s="2" t="str">
        <f t="shared" si="67"/>
        <v>Tue</v>
      </c>
      <c r="D373" t="s">
        <v>14</v>
      </c>
      <c r="E373" t="s">
        <v>22</v>
      </c>
      <c r="F373" t="str">
        <f t="shared" si="68"/>
        <v>E</v>
      </c>
      <c r="G373">
        <f t="shared" si="69"/>
        <v>1</v>
      </c>
      <c r="H373" t="s">
        <v>32</v>
      </c>
      <c r="I373">
        <f t="shared" si="70"/>
        <v>0</v>
      </c>
      <c r="J373">
        <f t="shared" si="77"/>
        <v>12500</v>
      </c>
      <c r="K373" s="15">
        <f t="shared" si="71"/>
        <v>635</v>
      </c>
      <c r="L373" s="15">
        <f t="shared" si="72"/>
        <v>290</v>
      </c>
      <c r="M373">
        <v>12</v>
      </c>
      <c r="N373">
        <v>6</v>
      </c>
      <c r="O373">
        <v>9</v>
      </c>
      <c r="P373">
        <v>10</v>
      </c>
      <c r="Q373" s="9">
        <v>82.947000000000003</v>
      </c>
      <c r="R373">
        <v>7</v>
      </c>
      <c r="T373" s="11">
        <f t="shared" si="73"/>
        <v>20</v>
      </c>
      <c r="U373" s="11">
        <f t="shared" si="74"/>
        <v>21</v>
      </c>
      <c r="V373" t="str">
        <f t="shared" si="75"/>
        <v>OX4 4XP</v>
      </c>
      <c r="W373" t="str">
        <f t="shared" si="76"/>
        <v>SS2 6NQ</v>
      </c>
      <c r="X373" s="12">
        <v>7277</v>
      </c>
      <c r="Y373" s="15">
        <f t="shared" si="66"/>
        <v>24</v>
      </c>
    </row>
    <row r="374" spans="1:25" x14ac:dyDescent="0.2">
      <c r="A374" t="s">
        <v>3</v>
      </c>
      <c r="B374" s="1">
        <v>42780</v>
      </c>
      <c r="C374" s="2" t="str">
        <f t="shared" si="67"/>
        <v>Tue</v>
      </c>
      <c r="D374" t="s">
        <v>17</v>
      </c>
      <c r="E374" t="s">
        <v>20</v>
      </c>
      <c r="F374" t="str">
        <f t="shared" si="68"/>
        <v>E</v>
      </c>
      <c r="G374">
        <f t="shared" si="69"/>
        <v>1</v>
      </c>
      <c r="H374" t="s">
        <v>32</v>
      </c>
      <c r="I374">
        <f t="shared" si="70"/>
        <v>0</v>
      </c>
      <c r="J374">
        <f t="shared" si="77"/>
        <v>15314</v>
      </c>
      <c r="K374" s="15">
        <f t="shared" si="71"/>
        <v>438</v>
      </c>
      <c r="L374" s="15">
        <f t="shared" si="72"/>
        <v>295</v>
      </c>
      <c r="M374">
        <v>10</v>
      </c>
      <c r="N374">
        <v>18</v>
      </c>
      <c r="O374">
        <v>6</v>
      </c>
      <c r="P374">
        <v>10</v>
      </c>
      <c r="Q374" s="9">
        <v>126</v>
      </c>
      <c r="R374">
        <v>4</v>
      </c>
      <c r="T374" s="11">
        <f t="shared" si="73"/>
        <v>21</v>
      </c>
      <c r="U374" s="11">
        <f t="shared" si="74"/>
        <v>20</v>
      </c>
      <c r="V374" t="str">
        <f t="shared" si="75"/>
        <v>PE2 8AL</v>
      </c>
      <c r="W374" t="str">
        <f t="shared" si="76"/>
        <v>SY2 6ST</v>
      </c>
      <c r="X374" s="12">
        <v>4116</v>
      </c>
      <c r="Y374" s="15">
        <f t="shared" si="66"/>
        <v>26</v>
      </c>
    </row>
    <row r="375" spans="1:25" x14ac:dyDescent="0.2">
      <c r="A375" t="s">
        <v>3</v>
      </c>
      <c r="B375" s="1">
        <v>42780</v>
      </c>
      <c r="C375" s="2" t="str">
        <f t="shared" si="67"/>
        <v>Tue</v>
      </c>
      <c r="D375" t="s">
        <v>18</v>
      </c>
      <c r="E375" t="s">
        <v>26</v>
      </c>
      <c r="F375" t="str">
        <f t="shared" si="68"/>
        <v>E</v>
      </c>
      <c r="G375">
        <f t="shared" si="69"/>
        <v>1</v>
      </c>
      <c r="H375" t="s">
        <v>32</v>
      </c>
      <c r="I375">
        <f t="shared" si="70"/>
        <v>0</v>
      </c>
      <c r="J375">
        <f t="shared" si="77"/>
        <v>9183</v>
      </c>
      <c r="K375" s="15">
        <f t="shared" si="71"/>
        <v>792</v>
      </c>
      <c r="L375" s="15">
        <f t="shared" si="72"/>
        <v>288</v>
      </c>
      <c r="M375">
        <v>3</v>
      </c>
      <c r="N375">
        <v>14</v>
      </c>
      <c r="O375">
        <v>7</v>
      </c>
      <c r="P375">
        <v>6</v>
      </c>
      <c r="Q375" s="9">
        <v>115</v>
      </c>
      <c r="R375">
        <v>4</v>
      </c>
      <c r="T375" s="11">
        <f t="shared" si="73"/>
        <v>18</v>
      </c>
      <c r="U375" s="11">
        <f t="shared" si="74"/>
        <v>22</v>
      </c>
      <c r="V375" t="str">
        <f t="shared" si="75"/>
        <v>DN15 8TD</v>
      </c>
      <c r="W375" t="str">
        <f t="shared" si="76"/>
        <v>WS1 4SA</v>
      </c>
      <c r="X375" s="12">
        <v>3168</v>
      </c>
      <c r="Y375" s="15">
        <f t="shared" si="66"/>
        <v>23</v>
      </c>
    </row>
    <row r="376" spans="1:25" x14ac:dyDescent="0.2">
      <c r="A376" t="s">
        <v>3</v>
      </c>
      <c r="B376" s="13">
        <v>42784</v>
      </c>
      <c r="C376" s="2" t="str">
        <f t="shared" si="67"/>
        <v>Sat</v>
      </c>
      <c r="D376" t="s">
        <v>6</v>
      </c>
      <c r="E376" t="s">
        <v>4</v>
      </c>
      <c r="F376" t="str">
        <f t="shared" si="68"/>
        <v>D</v>
      </c>
      <c r="G376">
        <f t="shared" si="69"/>
        <v>0</v>
      </c>
      <c r="H376" t="s">
        <v>32</v>
      </c>
      <c r="I376">
        <f t="shared" si="70"/>
        <v>0</v>
      </c>
      <c r="J376">
        <f t="shared" si="77"/>
        <v>25136</v>
      </c>
      <c r="K376" s="15">
        <f t="shared" si="71"/>
        <v>912</v>
      </c>
      <c r="L376" s="15">
        <f t="shared" si="72"/>
        <v>149</v>
      </c>
      <c r="M376">
        <v>5</v>
      </c>
      <c r="N376">
        <v>3</v>
      </c>
      <c r="O376">
        <v>6</v>
      </c>
      <c r="P376">
        <v>8</v>
      </c>
      <c r="Q376" s="9">
        <v>43</v>
      </c>
      <c r="R376">
        <v>10</v>
      </c>
      <c r="T376" s="11">
        <f t="shared" si="73"/>
        <v>25</v>
      </c>
      <c r="U376" s="11">
        <f t="shared" si="74"/>
        <v>20</v>
      </c>
      <c r="V376" t="str">
        <f t="shared" si="75"/>
        <v>BD8 7DY</v>
      </c>
      <c r="W376" t="str">
        <f t="shared" si="76"/>
        <v>BL6 6JW</v>
      </c>
      <c r="X376" s="12">
        <v>21190</v>
      </c>
      <c r="Y376" s="15">
        <f t="shared" si="66"/>
        <v>25</v>
      </c>
    </row>
    <row r="377" spans="1:25" x14ac:dyDescent="0.2">
      <c r="A377" t="s">
        <v>3</v>
      </c>
      <c r="B377" s="13">
        <v>42784</v>
      </c>
      <c r="C377" s="2" t="str">
        <f t="shared" si="67"/>
        <v>Sat</v>
      </c>
      <c r="D377" t="s">
        <v>15</v>
      </c>
      <c r="E377" t="s">
        <v>8</v>
      </c>
      <c r="F377" t="str">
        <f t="shared" si="68"/>
        <v>D</v>
      </c>
      <c r="G377">
        <f t="shared" si="69"/>
        <v>0</v>
      </c>
      <c r="H377" t="s">
        <v>32</v>
      </c>
      <c r="I377">
        <f t="shared" si="70"/>
        <v>0</v>
      </c>
      <c r="J377">
        <f t="shared" si="77"/>
        <v>10504</v>
      </c>
      <c r="K377" s="15">
        <f t="shared" si="71"/>
        <v>608</v>
      </c>
      <c r="L377" s="15">
        <f t="shared" si="72"/>
        <v>345</v>
      </c>
      <c r="M377">
        <v>23</v>
      </c>
      <c r="N377">
        <v>21</v>
      </c>
      <c r="O377">
        <v>2</v>
      </c>
      <c r="P377">
        <v>8</v>
      </c>
      <c r="Q377" s="9">
        <v>100</v>
      </c>
      <c r="R377">
        <v>8</v>
      </c>
      <c r="T377" s="11">
        <f t="shared" si="73"/>
        <v>22</v>
      </c>
      <c r="U377" s="11">
        <f t="shared" si="74"/>
        <v>20</v>
      </c>
      <c r="V377" t="str">
        <f t="shared" si="75"/>
        <v>S41 8NZ</v>
      </c>
      <c r="W377" t="str">
        <f t="shared" si="76"/>
        <v>BL9 9HR</v>
      </c>
      <c r="X377" s="12">
        <v>5582</v>
      </c>
      <c r="Y377" s="15">
        <f t="shared" si="66"/>
        <v>26</v>
      </c>
    </row>
    <row r="378" spans="1:25" x14ac:dyDescent="0.2">
      <c r="A378" t="s">
        <v>3</v>
      </c>
      <c r="B378" s="13">
        <v>42784</v>
      </c>
      <c r="C378" s="2" t="str">
        <f t="shared" si="67"/>
        <v>Sat</v>
      </c>
      <c r="D378" t="s">
        <v>25</v>
      </c>
      <c r="E378" t="s">
        <v>23</v>
      </c>
      <c r="F378" t="str">
        <f t="shared" si="68"/>
        <v>D</v>
      </c>
      <c r="G378">
        <f t="shared" si="69"/>
        <v>0</v>
      </c>
      <c r="H378" t="s">
        <v>32</v>
      </c>
      <c r="I378">
        <f t="shared" si="70"/>
        <v>0</v>
      </c>
      <c r="J378">
        <f t="shared" si="77"/>
        <v>32609</v>
      </c>
      <c r="K378" s="15">
        <f t="shared" si="71"/>
        <v>533</v>
      </c>
      <c r="L378" s="15">
        <f t="shared" si="72"/>
        <v>299</v>
      </c>
      <c r="M378">
        <v>24</v>
      </c>
      <c r="N378">
        <v>17</v>
      </c>
      <c r="O378">
        <v>4</v>
      </c>
      <c r="P378">
        <v>4</v>
      </c>
      <c r="Q378" s="9">
        <v>137</v>
      </c>
      <c r="R378">
        <v>7</v>
      </c>
      <c r="T378" s="11">
        <f t="shared" si="73"/>
        <v>22</v>
      </c>
      <c r="U378" s="11">
        <f t="shared" si="74"/>
        <v>22</v>
      </c>
      <c r="V378" t="str">
        <f t="shared" si="75"/>
        <v>CV6 6GE</v>
      </c>
      <c r="W378" t="str">
        <f t="shared" si="76"/>
        <v>ME7 4DD</v>
      </c>
      <c r="X378" s="12">
        <v>8718</v>
      </c>
      <c r="Y378" s="15">
        <f t="shared" si="66"/>
        <v>26</v>
      </c>
    </row>
    <row r="379" spans="1:25" x14ac:dyDescent="0.2">
      <c r="A379" t="s">
        <v>3</v>
      </c>
      <c r="B379" s="13">
        <v>42784</v>
      </c>
      <c r="C379" s="2" t="str">
        <f t="shared" si="67"/>
        <v>Sat</v>
      </c>
      <c r="D379" t="s">
        <v>21</v>
      </c>
      <c r="E379" t="s">
        <v>13</v>
      </c>
      <c r="F379" t="str">
        <f t="shared" si="68"/>
        <v>D</v>
      </c>
      <c r="G379">
        <f t="shared" si="69"/>
        <v>0</v>
      </c>
      <c r="H379" t="s">
        <v>32</v>
      </c>
      <c r="I379">
        <f t="shared" si="70"/>
        <v>0</v>
      </c>
      <c r="J379">
        <f t="shared" si="77"/>
        <v>30500</v>
      </c>
      <c r="K379" s="15">
        <f t="shared" si="71"/>
        <v>210</v>
      </c>
      <c r="L379" s="15">
        <f t="shared" si="72"/>
        <v>312</v>
      </c>
      <c r="M379">
        <v>15</v>
      </c>
      <c r="N379">
        <v>4</v>
      </c>
      <c r="O379">
        <v>5</v>
      </c>
      <c r="P379">
        <v>9</v>
      </c>
      <c r="Q379" s="9">
        <v>197</v>
      </c>
      <c r="R379">
        <v>9</v>
      </c>
      <c r="T379" s="11">
        <f t="shared" si="73"/>
        <v>22</v>
      </c>
      <c r="U379" s="11">
        <f t="shared" si="74"/>
        <v>22</v>
      </c>
      <c r="V379" t="str">
        <f t="shared" si="75"/>
        <v>MK1 1ST</v>
      </c>
      <c r="W379" t="str">
        <f t="shared" si="76"/>
        <v>FY7 6TX</v>
      </c>
      <c r="X379" s="12">
        <v>8278</v>
      </c>
      <c r="Y379" s="15">
        <f t="shared" si="66"/>
        <v>27</v>
      </c>
    </row>
    <row r="380" spans="1:25" x14ac:dyDescent="0.2">
      <c r="A380" t="s">
        <v>3</v>
      </c>
      <c r="B380" s="13">
        <v>42784</v>
      </c>
      <c r="C380" s="2" t="str">
        <f t="shared" si="67"/>
        <v>Sat</v>
      </c>
      <c r="D380" t="s">
        <v>7</v>
      </c>
      <c r="E380" t="s">
        <v>19</v>
      </c>
      <c r="F380" t="str">
        <f t="shared" si="68"/>
        <v>D</v>
      </c>
      <c r="G380">
        <f t="shared" si="69"/>
        <v>0</v>
      </c>
      <c r="H380" t="s">
        <v>32</v>
      </c>
      <c r="I380">
        <f t="shared" si="70"/>
        <v>0</v>
      </c>
      <c r="J380">
        <f t="shared" si="77"/>
        <v>18947</v>
      </c>
      <c r="K380" s="15">
        <f t="shared" si="71"/>
        <v>1159</v>
      </c>
      <c r="L380" s="15">
        <f t="shared" si="72"/>
        <v>345</v>
      </c>
      <c r="M380">
        <v>20</v>
      </c>
      <c r="N380">
        <v>11</v>
      </c>
      <c r="O380">
        <v>2</v>
      </c>
      <c r="P380">
        <v>7</v>
      </c>
      <c r="Q380" s="9">
        <v>133</v>
      </c>
      <c r="R380">
        <v>10</v>
      </c>
      <c r="T380" s="11">
        <f t="shared" si="73"/>
        <v>22</v>
      </c>
      <c r="U380" s="11">
        <f t="shared" si="74"/>
        <v>22</v>
      </c>
      <c r="V380" t="str">
        <f t="shared" si="75"/>
        <v>ST6 1AW</v>
      </c>
      <c r="W380" t="str">
        <f t="shared" si="76"/>
        <v>BS7 0BF</v>
      </c>
      <c r="X380" s="12">
        <v>4460</v>
      </c>
      <c r="Y380" s="15">
        <f t="shared" si="66"/>
        <v>23</v>
      </c>
    </row>
    <row r="381" spans="1:25" x14ac:dyDescent="0.2">
      <c r="A381" t="s">
        <v>3</v>
      </c>
      <c r="B381" s="13">
        <v>42784</v>
      </c>
      <c r="C381" s="2" t="str">
        <f t="shared" si="67"/>
        <v>Sat</v>
      </c>
      <c r="D381" t="s">
        <v>16</v>
      </c>
      <c r="E381" t="s">
        <v>9</v>
      </c>
      <c r="F381" t="str">
        <f t="shared" si="68"/>
        <v>D</v>
      </c>
      <c r="G381">
        <f t="shared" si="69"/>
        <v>0</v>
      </c>
      <c r="H381" t="s">
        <v>32</v>
      </c>
      <c r="I381">
        <f t="shared" si="70"/>
        <v>0</v>
      </c>
      <c r="J381">
        <f t="shared" si="77"/>
        <v>10249</v>
      </c>
      <c r="K381" s="15">
        <f t="shared" si="71"/>
        <v>680</v>
      </c>
      <c r="L381" s="15">
        <f t="shared" si="72"/>
        <v>290</v>
      </c>
      <c r="M381">
        <v>4</v>
      </c>
      <c r="N381">
        <v>11</v>
      </c>
      <c r="O381">
        <v>3</v>
      </c>
      <c r="P381">
        <v>6</v>
      </c>
      <c r="Q381" s="9">
        <v>137</v>
      </c>
      <c r="R381">
        <v>10</v>
      </c>
      <c r="T381" s="11">
        <f t="shared" si="73"/>
        <v>17</v>
      </c>
      <c r="U381" s="11">
        <f t="shared" si="74"/>
        <v>22</v>
      </c>
      <c r="V381" t="str">
        <f t="shared" si="75"/>
        <v>OL11 5DR</v>
      </c>
      <c r="W381" t="str">
        <f t="shared" si="76"/>
        <v>SE7 8BL</v>
      </c>
      <c r="X381" s="12">
        <v>2842</v>
      </c>
      <c r="Y381" s="15">
        <f t="shared" si="66"/>
        <v>22</v>
      </c>
    </row>
    <row r="382" spans="1:25" x14ac:dyDescent="0.2">
      <c r="A382" t="s">
        <v>3</v>
      </c>
      <c r="B382" s="13">
        <v>42784</v>
      </c>
      <c r="C382" s="2" t="str">
        <f t="shared" si="67"/>
        <v>Sat</v>
      </c>
      <c r="D382" t="s">
        <v>5</v>
      </c>
      <c r="E382" t="s">
        <v>18</v>
      </c>
      <c r="F382" t="str">
        <f t="shared" si="68"/>
        <v>D</v>
      </c>
      <c r="G382">
        <f t="shared" si="69"/>
        <v>0</v>
      </c>
      <c r="H382" t="s">
        <v>32</v>
      </c>
      <c r="I382">
        <f t="shared" si="70"/>
        <v>0</v>
      </c>
      <c r="J382">
        <f t="shared" si="77"/>
        <v>32702</v>
      </c>
      <c r="K382" s="15">
        <f t="shared" si="71"/>
        <v>508</v>
      </c>
      <c r="L382" s="15">
        <f t="shared" si="72"/>
        <v>288</v>
      </c>
      <c r="M382">
        <v>1</v>
      </c>
      <c r="N382">
        <v>3</v>
      </c>
      <c r="O382">
        <v>8</v>
      </c>
      <c r="P382">
        <v>5</v>
      </c>
      <c r="Q382" s="9">
        <v>46</v>
      </c>
      <c r="R382">
        <v>10</v>
      </c>
      <c r="T382" s="11">
        <f t="shared" si="73"/>
        <v>20</v>
      </c>
      <c r="U382" s="11">
        <f t="shared" si="74"/>
        <v>20</v>
      </c>
      <c r="V382" t="str">
        <f t="shared" si="75"/>
        <v>S2 4SU</v>
      </c>
      <c r="W382" t="str">
        <f t="shared" si="76"/>
        <v>DN15 8TD</v>
      </c>
      <c r="X382" s="12">
        <v>27980</v>
      </c>
      <c r="Y382" s="15">
        <f t="shared" si="66"/>
        <v>29</v>
      </c>
    </row>
    <row r="383" spans="1:25" x14ac:dyDescent="0.2">
      <c r="A383" t="s">
        <v>3</v>
      </c>
      <c r="B383" s="13">
        <v>42784</v>
      </c>
      <c r="C383" s="2" t="str">
        <f t="shared" si="67"/>
        <v>Sat</v>
      </c>
      <c r="D383" t="s">
        <v>20</v>
      </c>
      <c r="E383" t="s">
        <v>27</v>
      </c>
      <c r="F383" t="str">
        <f t="shared" si="68"/>
        <v>D</v>
      </c>
      <c r="G383">
        <f t="shared" si="69"/>
        <v>0</v>
      </c>
      <c r="H383" t="s">
        <v>32</v>
      </c>
      <c r="I383">
        <f t="shared" si="70"/>
        <v>0</v>
      </c>
      <c r="J383">
        <f t="shared" si="77"/>
        <v>9875</v>
      </c>
      <c r="K383" s="15">
        <f t="shared" si="71"/>
        <v>622</v>
      </c>
      <c r="L383" s="15">
        <f t="shared" si="72"/>
        <v>285</v>
      </c>
      <c r="M383">
        <v>18</v>
      </c>
      <c r="N383">
        <v>12</v>
      </c>
      <c r="O383">
        <v>10</v>
      </c>
      <c r="P383">
        <v>3</v>
      </c>
      <c r="Q383" s="9">
        <v>185</v>
      </c>
      <c r="R383">
        <v>11</v>
      </c>
      <c r="T383" s="11">
        <f t="shared" si="73"/>
        <v>20</v>
      </c>
      <c r="U383" s="11">
        <f t="shared" si="74"/>
        <v>20</v>
      </c>
      <c r="V383" t="str">
        <f t="shared" si="75"/>
        <v>SY2 6ST</v>
      </c>
      <c r="W383" t="str">
        <f t="shared" si="76"/>
        <v>KT1 3PB</v>
      </c>
      <c r="X383" s="12">
        <v>5751</v>
      </c>
      <c r="Y383" s="15">
        <f t="shared" si="66"/>
        <v>22</v>
      </c>
    </row>
    <row r="384" spans="1:25" x14ac:dyDescent="0.2">
      <c r="A384" t="s">
        <v>3</v>
      </c>
      <c r="B384" s="13">
        <v>42784</v>
      </c>
      <c r="C384" s="2" t="str">
        <f t="shared" si="67"/>
        <v>Sat</v>
      </c>
      <c r="D384" t="s">
        <v>22</v>
      </c>
      <c r="E384" t="s">
        <v>12</v>
      </c>
      <c r="F384" t="str">
        <f t="shared" si="68"/>
        <v>D</v>
      </c>
      <c r="G384">
        <f t="shared" si="69"/>
        <v>0</v>
      </c>
      <c r="H384" t="s">
        <v>32</v>
      </c>
      <c r="I384">
        <f t="shared" si="70"/>
        <v>0</v>
      </c>
      <c r="J384">
        <f t="shared" si="77"/>
        <v>12392</v>
      </c>
      <c r="K384" s="15">
        <f t="shared" si="71"/>
        <v>843</v>
      </c>
      <c r="L384" s="15">
        <f t="shared" si="72"/>
        <v>395</v>
      </c>
      <c r="M384">
        <v>5</v>
      </c>
      <c r="N384">
        <v>16</v>
      </c>
      <c r="O384">
        <v>8</v>
      </c>
      <c r="P384">
        <v>10</v>
      </c>
      <c r="Q384" s="9">
        <v>103</v>
      </c>
      <c r="R384">
        <v>11</v>
      </c>
      <c r="T384" s="11">
        <f t="shared" si="73"/>
        <v>25</v>
      </c>
      <c r="U384" s="11">
        <f t="shared" si="74"/>
        <v>22</v>
      </c>
      <c r="V384" t="str">
        <f t="shared" si="75"/>
        <v>SS2 6NQ</v>
      </c>
      <c r="W384" t="str">
        <f t="shared" si="76"/>
        <v>NN5 5QA</v>
      </c>
      <c r="X384" s="12">
        <v>8425</v>
      </c>
      <c r="Y384" s="15">
        <f t="shared" si="66"/>
        <v>25</v>
      </c>
    </row>
    <row r="385" spans="1:25" x14ac:dyDescent="0.2">
      <c r="A385" t="s">
        <v>3</v>
      </c>
      <c r="B385" s="13">
        <v>42784</v>
      </c>
      <c r="C385" s="2" t="str">
        <f t="shared" si="67"/>
        <v>Sat</v>
      </c>
      <c r="D385" t="s">
        <v>24</v>
      </c>
      <c r="E385" t="s">
        <v>11</v>
      </c>
      <c r="F385" t="str">
        <f t="shared" si="68"/>
        <v>D</v>
      </c>
      <c r="G385">
        <f t="shared" si="69"/>
        <v>0</v>
      </c>
      <c r="H385" t="s">
        <v>32</v>
      </c>
      <c r="I385">
        <f t="shared" si="70"/>
        <v>0</v>
      </c>
      <c r="J385">
        <f t="shared" si="77"/>
        <v>15728</v>
      </c>
      <c r="K385" s="15">
        <f t="shared" si="71"/>
        <v>729</v>
      </c>
      <c r="L385" s="15">
        <f t="shared" si="72"/>
        <v>345</v>
      </c>
      <c r="M385">
        <v>22</v>
      </c>
      <c r="N385">
        <v>19</v>
      </c>
      <c r="O385">
        <v>1</v>
      </c>
      <c r="P385">
        <v>10</v>
      </c>
      <c r="Q385" s="9">
        <v>178</v>
      </c>
      <c r="R385">
        <v>10</v>
      </c>
      <c r="T385" s="11">
        <f t="shared" si="73"/>
        <v>19</v>
      </c>
      <c r="U385" s="11">
        <f t="shared" si="74"/>
        <v>19</v>
      </c>
      <c r="V385" t="str">
        <f t="shared" si="75"/>
        <v>SN1 2ED</v>
      </c>
      <c r="W385" t="str">
        <f t="shared" si="76"/>
        <v>OL1 2PA</v>
      </c>
      <c r="X385" s="12">
        <v>6773</v>
      </c>
      <c r="Y385" s="15">
        <f t="shared" si="66"/>
        <v>25</v>
      </c>
    </row>
    <row r="386" spans="1:25" x14ac:dyDescent="0.2">
      <c r="A386" t="s">
        <v>3</v>
      </c>
      <c r="B386" s="13">
        <v>42784</v>
      </c>
      <c r="C386" s="2" t="str">
        <f t="shared" si="67"/>
        <v>Sat</v>
      </c>
      <c r="D386" t="s">
        <v>26</v>
      </c>
      <c r="E386" t="s">
        <v>17</v>
      </c>
      <c r="F386" t="str">
        <f t="shared" si="68"/>
        <v>D</v>
      </c>
      <c r="G386">
        <f t="shared" si="69"/>
        <v>0</v>
      </c>
      <c r="H386" t="s">
        <v>32</v>
      </c>
      <c r="I386">
        <f t="shared" si="70"/>
        <v>0</v>
      </c>
      <c r="J386">
        <f t="shared" si="77"/>
        <v>11300</v>
      </c>
      <c r="K386" s="15">
        <f t="shared" si="71"/>
        <v>598</v>
      </c>
      <c r="L386" s="15">
        <f t="shared" si="72"/>
        <v>253</v>
      </c>
      <c r="M386">
        <v>14</v>
      </c>
      <c r="N386">
        <v>9</v>
      </c>
      <c r="O386">
        <v>8</v>
      </c>
      <c r="P386">
        <v>6</v>
      </c>
      <c r="Q386" s="9">
        <v>91</v>
      </c>
      <c r="R386">
        <v>8</v>
      </c>
      <c r="T386" s="11">
        <f t="shared" si="73"/>
        <v>20</v>
      </c>
      <c r="U386" s="11">
        <f t="shared" si="74"/>
        <v>20</v>
      </c>
      <c r="V386" t="str">
        <f t="shared" si="75"/>
        <v>WS1 4SA</v>
      </c>
      <c r="W386" t="str">
        <f t="shared" si="76"/>
        <v>PE2 8AL</v>
      </c>
      <c r="X386" s="12">
        <v>4759</v>
      </c>
      <c r="Y386" s="15">
        <f t="shared" ref="Y386:Y449" si="78">IF(D386="AFC Wimbledon",29,IF(D386="Bolton",30,IF(D386="Bury",22,IF(D386="Bradford",25,IF(D386="Bristol Rvs",26,IF(D386="Charlton",35,IF(D386="Chesterfield",26,IF(D386="Coventry",26,IF(D386="Gillingham",28,IF(D386="Millwall",30,IF(D386="Milton Keynes Dons",27,IF(D386="Northampton",24,IF(D386="Oldham",24,IF(D386="Oxford",24,IF(D386="Peterboro",26,IF(D386="Port Vale",23,IF(D386="Rochdale",22,IF(D386="Scunthorpe",23,IF(D386="Sheffield United",29,IF(D386="Southend",25,IF(D386="Shrewsbury",22,IF(D386="Swindon",25,IF(D386="Walsall",25.5,IF(D386="Fleetwood Town",23.5,"Unknown"))))))))))))))))))))))))</f>
        <v>25.5</v>
      </c>
    </row>
    <row r="387" spans="1:25" x14ac:dyDescent="0.2">
      <c r="A387" t="s">
        <v>3</v>
      </c>
      <c r="B387" s="13">
        <v>42787</v>
      </c>
      <c r="C387" s="2" t="str">
        <f t="shared" ref="C387:C450" si="79">TEXT(B387,"ddd")</f>
        <v>Tue</v>
      </c>
      <c r="D387" t="s">
        <v>9</v>
      </c>
      <c r="E387" t="s">
        <v>14</v>
      </c>
      <c r="F387" t="str">
        <f t="shared" ref="F387:F450" si="80">IF(C387="Sat","D",IF(C387="Sun","D","E"))</f>
        <v>E</v>
      </c>
      <c r="G387">
        <f t="shared" ref="G387:G450" si="81">IF(F387="D",0,1)</f>
        <v>1</v>
      </c>
      <c r="H387" t="s">
        <v>32</v>
      </c>
      <c r="I387">
        <f t="shared" ref="I387:I450" si="82">IF(H387="N",0,1)</f>
        <v>0</v>
      </c>
      <c r="J387">
        <f t="shared" si="77"/>
        <v>26875</v>
      </c>
      <c r="K387" s="15">
        <f t="shared" ref="K387:K450" si="83">IF(E387="AFC Wimbledon",622,IF(E387="Bolton",912,IF(E387="Bury",608,IF(E387="Bradford",1437,IF(E387="Bristol Rvs",1159,IF(E387="Charlton",680,IF(E387="Chesterfield",583,IF(E387="Coventry",1280,IF(E387="Gillingham",533,IF(E387="Millwall",827,IF(E387="Milton Keynes Dons",596,IF(E387="Northampton",843,IF(E387="Oldham",729,IF(E387="Oxford",1000,IF(E387="Peterboro",598,IF(E387="Port Vale",697,IF(E387="Rochdale",497,IF(E387="Scunthorpe",508,IF(E387="Sheffield United",1622,IF(E387="Southend",635,IF(E387="Shrewsbury",438,IF(E387="Swindon",503,IF(E387="Walsall",792,IF(E387="Fleetwood Town",210,"Unknown"))))))))))))))))))))))))</f>
        <v>1000</v>
      </c>
      <c r="L387" s="15">
        <f t="shared" ref="L387:L450" si="84">IF(D387="AFC Wimbledon",260,IF(D387="Bolton",280,IF(D387="Bury",275,IF(D387="Bradford",149,IF(D387="Bristol Rvs",260,IF(D387="Charlton",175,IF(D387="Chesterfield",345,IF(D387="Coventry",299,IF(D387="Gillingham",285,IF(D387="Millwall",333,IF(D387="Milton Keynes Dons",312,IF(D387="Northampton",249,IF(D387="Oldham",300,IF(D387="Oxford",290,IF(D387="Peterboro",295,IF(D387="Port Vale",345,IF(D387="Rochdale",290,IF(D387="Scunthorpe",288,IF(D387="Sheffield United",288,IF(D387="Southend",395,IF(D387="Shrewsbury",285,IF(D387="Swindon",345,IF(D387="Walsall",253,IF(D387="Fleetwood Town",210,"Unknown"))))))))))))))))))))))))</f>
        <v>175</v>
      </c>
      <c r="M387">
        <v>10</v>
      </c>
      <c r="N387">
        <v>13</v>
      </c>
      <c r="O387">
        <v>3</v>
      </c>
      <c r="P387">
        <v>12</v>
      </c>
      <c r="Q387" s="9">
        <v>81</v>
      </c>
      <c r="R387">
        <v>11</v>
      </c>
      <c r="T387" s="11">
        <f t="shared" ref="T387:T450" si="85">IF(D387="AFC Wimbledon",17,IF(D387="Bolton",15,IF(D387="Bury",18,IF(D387="Bradford",25,IF(D387="Bristol Rvs",18,IF(D387="Charlton",20,IF(D387="Chesterfield",22,IF(D387="Coventry",22,IF(D387="Gillingham",12,IF(D387="Millwall",22,IF(D387="Milton Keynes Dons",22,IF(D387="Northampton",24,IF(D387="Oldham",22,IF(D387="Oxford",20,IF(D387="Peterboro",21,IF(D387="Port Vale",22,IF(D387="Rochdale",17,IF(D387="Scunthorpe",18,IF(D387="Sheffield United",20,IF(D387="Southend",25,IF(D387="Shrewsbury",20,IF(D387="Swindon",19,IF(D387="Walsall",20,IF(D387="Fleetwood Town",21.5,"Unknown"))))))))))))))))))))))))</f>
        <v>20</v>
      </c>
      <c r="U387" s="11">
        <f t="shared" ref="U387:U450" si="86">IF(D387="AFC Wimbledon",17,IF(D387="Bolton",15,IF(D387="Bury",18,IF(D387="Bradford",20,IF(D387="Bristol Rvs",16,IF(D387="Charlton",20,IF(D387="Chesterfield",20,IF(D387="Coventry",22,IF(D387="Gillingham",10,IF(D387="Millwall",23,IF(D387="Milton Keynes Dons",22,IF(D387="Northampton",24,IF(D387="Oldham",24,IF(D387="Oxford",21,IF(D387="Peterboro",20,IF(D387="Port Vale",22,IF(D387="Rochdale",22,IF(D387="Scunthorpe",22,IF(D387="Sheffield United",20,IF(D387="Southend",22,IF(D387="Shrewsbury",20,IF(D387="Swindon",19,IF(D387="Walsall",20,IF(D387="Fleetwood Town",21.5,"Unknown"))))))))))))))))))))))))</f>
        <v>20</v>
      </c>
      <c r="V387" t="str">
        <f t="shared" si="75"/>
        <v>SE7 8BL</v>
      </c>
      <c r="W387" t="str">
        <f t="shared" si="76"/>
        <v>OX4 4XP</v>
      </c>
      <c r="X387" s="12">
        <v>9109</v>
      </c>
      <c r="Y387" s="15">
        <f t="shared" si="78"/>
        <v>35</v>
      </c>
    </row>
    <row r="388" spans="1:25" x14ac:dyDescent="0.2">
      <c r="A388" t="s">
        <v>3</v>
      </c>
      <c r="B388" s="13">
        <v>42787</v>
      </c>
      <c r="C388" s="2" t="str">
        <f t="shared" si="79"/>
        <v>Tue</v>
      </c>
      <c r="D388" t="s">
        <v>23</v>
      </c>
      <c r="E388" t="s">
        <v>27</v>
      </c>
      <c r="F388" t="str">
        <f t="shared" si="80"/>
        <v>E</v>
      </c>
      <c r="G388">
        <f t="shared" si="81"/>
        <v>1</v>
      </c>
      <c r="H388" t="s">
        <v>32</v>
      </c>
      <c r="I388">
        <f t="shared" si="82"/>
        <v>0</v>
      </c>
      <c r="J388">
        <f t="shared" si="77"/>
        <v>11582</v>
      </c>
      <c r="K388" s="15">
        <f t="shared" si="83"/>
        <v>622</v>
      </c>
      <c r="L388" s="15">
        <f t="shared" si="84"/>
        <v>285</v>
      </c>
      <c r="M388">
        <v>18</v>
      </c>
      <c r="N388">
        <v>15</v>
      </c>
      <c r="O388">
        <v>4</v>
      </c>
      <c r="P388">
        <v>3</v>
      </c>
      <c r="Q388" s="9">
        <v>116</v>
      </c>
      <c r="R388">
        <v>11</v>
      </c>
      <c r="T388" s="11">
        <f t="shared" si="85"/>
        <v>12</v>
      </c>
      <c r="U388" s="11">
        <f t="shared" si="86"/>
        <v>10</v>
      </c>
      <c r="V388" t="str">
        <f t="shared" si="75"/>
        <v>ME7 4DD</v>
      </c>
      <c r="W388" t="str">
        <f t="shared" si="76"/>
        <v>KT1 3PB</v>
      </c>
      <c r="X388" s="12">
        <v>4956</v>
      </c>
      <c r="Y388" s="15">
        <f t="shared" si="78"/>
        <v>28</v>
      </c>
    </row>
    <row r="389" spans="1:25" x14ac:dyDescent="0.2">
      <c r="A389" t="s">
        <v>3</v>
      </c>
      <c r="B389" s="13">
        <v>42787</v>
      </c>
      <c r="C389" s="2" t="str">
        <f t="shared" si="79"/>
        <v>Tue</v>
      </c>
      <c r="D389" t="s">
        <v>10</v>
      </c>
      <c r="E389" t="s">
        <v>15</v>
      </c>
      <c r="F389" t="str">
        <f t="shared" si="80"/>
        <v>E</v>
      </c>
      <c r="G389">
        <f t="shared" si="81"/>
        <v>1</v>
      </c>
      <c r="H389" t="s">
        <v>32</v>
      </c>
      <c r="I389">
        <f t="shared" si="82"/>
        <v>0</v>
      </c>
      <c r="J389">
        <f t="shared" si="77"/>
        <v>20146</v>
      </c>
      <c r="K389" s="15">
        <f t="shared" si="83"/>
        <v>583</v>
      </c>
      <c r="L389" s="15">
        <f t="shared" si="84"/>
        <v>333</v>
      </c>
      <c r="M389">
        <v>9</v>
      </c>
      <c r="N389">
        <v>22</v>
      </c>
      <c r="O389">
        <v>11</v>
      </c>
      <c r="P389">
        <v>2</v>
      </c>
      <c r="Q389" s="9">
        <v>153</v>
      </c>
      <c r="R389">
        <v>12</v>
      </c>
      <c r="T389" s="11">
        <f t="shared" si="85"/>
        <v>22</v>
      </c>
      <c r="U389" s="11">
        <f t="shared" si="86"/>
        <v>23</v>
      </c>
      <c r="V389" t="str">
        <f t="shared" si="75"/>
        <v>SE16 3LN</v>
      </c>
      <c r="W389" t="str">
        <f t="shared" si="76"/>
        <v>S41 8NZ</v>
      </c>
      <c r="X389" s="12">
        <v>9005</v>
      </c>
      <c r="Y389" s="15">
        <f t="shared" si="78"/>
        <v>30</v>
      </c>
    </row>
    <row r="390" spans="1:25" x14ac:dyDescent="0.2">
      <c r="A390" t="s">
        <v>3</v>
      </c>
      <c r="B390" s="13">
        <v>42787</v>
      </c>
      <c r="C390" s="2" t="str">
        <f t="shared" si="79"/>
        <v>Tue</v>
      </c>
      <c r="D390" t="s">
        <v>17</v>
      </c>
      <c r="E390" t="s">
        <v>22</v>
      </c>
      <c r="F390" t="str">
        <f t="shared" si="80"/>
        <v>E</v>
      </c>
      <c r="G390">
        <f t="shared" si="81"/>
        <v>1</v>
      </c>
      <c r="H390" t="s">
        <v>32</v>
      </c>
      <c r="I390">
        <f t="shared" si="82"/>
        <v>0</v>
      </c>
      <c r="J390">
        <f t="shared" si="77"/>
        <v>15314</v>
      </c>
      <c r="K390" s="15">
        <f t="shared" si="83"/>
        <v>635</v>
      </c>
      <c r="L390" s="15">
        <f t="shared" si="84"/>
        <v>295</v>
      </c>
      <c r="M390">
        <v>8</v>
      </c>
      <c r="N390">
        <v>7</v>
      </c>
      <c r="O390">
        <v>6</v>
      </c>
      <c r="P390">
        <v>10</v>
      </c>
      <c r="Q390" s="9">
        <v>117</v>
      </c>
      <c r="R390">
        <v>10</v>
      </c>
      <c r="T390" s="11">
        <f t="shared" si="85"/>
        <v>21</v>
      </c>
      <c r="U390" s="11">
        <f t="shared" si="86"/>
        <v>20</v>
      </c>
      <c r="V390" t="str">
        <f t="shared" si="75"/>
        <v>PE2 8AL</v>
      </c>
      <c r="W390" t="str">
        <f t="shared" si="76"/>
        <v>SS2 6NQ</v>
      </c>
      <c r="X390" s="12">
        <v>4597</v>
      </c>
      <c r="Y390" s="15">
        <f t="shared" si="78"/>
        <v>26</v>
      </c>
    </row>
    <row r="391" spans="1:25" x14ac:dyDescent="0.2">
      <c r="A391" t="s">
        <v>3</v>
      </c>
      <c r="B391" s="13">
        <v>42791</v>
      </c>
      <c r="C391" s="2" t="str">
        <f t="shared" si="79"/>
        <v>Sat</v>
      </c>
      <c r="D391" t="s">
        <v>27</v>
      </c>
      <c r="E391" t="s">
        <v>26</v>
      </c>
      <c r="F391" t="str">
        <f t="shared" si="80"/>
        <v>D</v>
      </c>
      <c r="G391">
        <f t="shared" si="81"/>
        <v>0</v>
      </c>
      <c r="H391" t="s">
        <v>32</v>
      </c>
      <c r="I391">
        <f t="shared" si="82"/>
        <v>0</v>
      </c>
      <c r="J391">
        <f t="shared" si="77"/>
        <v>4850</v>
      </c>
      <c r="K391" s="15">
        <f t="shared" si="83"/>
        <v>792</v>
      </c>
      <c r="L391" s="15">
        <f t="shared" si="84"/>
        <v>260</v>
      </c>
      <c r="M391">
        <v>14</v>
      </c>
      <c r="N391">
        <v>12</v>
      </c>
      <c r="O391">
        <v>6</v>
      </c>
      <c r="P391">
        <v>7</v>
      </c>
      <c r="Q391" s="9">
        <v>139</v>
      </c>
      <c r="R391">
        <v>10</v>
      </c>
      <c r="S391" t="s">
        <v>68</v>
      </c>
      <c r="T391" s="11">
        <f t="shared" si="85"/>
        <v>17</v>
      </c>
      <c r="U391" s="11">
        <f t="shared" si="86"/>
        <v>17</v>
      </c>
      <c r="V391" t="str">
        <f t="shared" si="75"/>
        <v>KT1 3PB</v>
      </c>
      <c r="W391" t="str">
        <f t="shared" si="76"/>
        <v>WS1 4SA</v>
      </c>
      <c r="X391" s="12">
        <v>4586</v>
      </c>
      <c r="Y391" s="15">
        <f t="shared" si="78"/>
        <v>29</v>
      </c>
    </row>
    <row r="392" spans="1:25" x14ac:dyDescent="0.2">
      <c r="A392" t="s">
        <v>3</v>
      </c>
      <c r="B392" s="13">
        <v>42791</v>
      </c>
      <c r="C392" s="2" t="str">
        <f t="shared" si="79"/>
        <v>Sat</v>
      </c>
      <c r="D392" t="s">
        <v>19</v>
      </c>
      <c r="E392" t="s">
        <v>18</v>
      </c>
      <c r="F392" t="str">
        <f t="shared" si="80"/>
        <v>D</v>
      </c>
      <c r="G392">
        <f t="shared" si="81"/>
        <v>0</v>
      </c>
      <c r="H392" t="s">
        <v>32</v>
      </c>
      <c r="I392">
        <f t="shared" si="82"/>
        <v>0</v>
      </c>
      <c r="J392">
        <f t="shared" si="77"/>
        <v>12000</v>
      </c>
      <c r="K392" s="15">
        <f t="shared" si="83"/>
        <v>508</v>
      </c>
      <c r="L392" s="15">
        <f t="shared" si="84"/>
        <v>260</v>
      </c>
      <c r="M392">
        <v>11</v>
      </c>
      <c r="N392">
        <v>3</v>
      </c>
      <c r="O392">
        <v>5</v>
      </c>
      <c r="P392">
        <v>3</v>
      </c>
      <c r="Q392" s="9">
        <v>209</v>
      </c>
      <c r="R392">
        <v>8</v>
      </c>
      <c r="T392" s="11">
        <f t="shared" si="85"/>
        <v>18</v>
      </c>
      <c r="U392" s="11">
        <f t="shared" si="86"/>
        <v>16</v>
      </c>
      <c r="V392" t="str">
        <f t="shared" si="75"/>
        <v>BS7 0BF</v>
      </c>
      <c r="W392" t="str">
        <f t="shared" si="76"/>
        <v>DN15 8TD</v>
      </c>
      <c r="X392" s="12">
        <v>8784</v>
      </c>
      <c r="Y392" s="15">
        <f t="shared" si="78"/>
        <v>26</v>
      </c>
    </row>
    <row r="393" spans="1:25" x14ac:dyDescent="0.2">
      <c r="A393" t="s">
        <v>3</v>
      </c>
      <c r="B393" s="13">
        <v>42791</v>
      </c>
      <c r="C393" s="2" t="str">
        <f t="shared" si="79"/>
        <v>Sat</v>
      </c>
      <c r="D393" t="s">
        <v>9</v>
      </c>
      <c r="E393" t="s">
        <v>8</v>
      </c>
      <c r="F393" t="str">
        <f t="shared" si="80"/>
        <v>D</v>
      </c>
      <c r="G393">
        <f t="shared" si="81"/>
        <v>0</v>
      </c>
      <c r="H393" t="s">
        <v>32</v>
      </c>
      <c r="I393">
        <f t="shared" si="82"/>
        <v>0</v>
      </c>
      <c r="J393">
        <f t="shared" si="77"/>
        <v>26875</v>
      </c>
      <c r="K393" s="15">
        <f t="shared" si="83"/>
        <v>608</v>
      </c>
      <c r="L393" s="15">
        <f t="shared" si="84"/>
        <v>175</v>
      </c>
      <c r="M393">
        <v>13</v>
      </c>
      <c r="N393">
        <v>21</v>
      </c>
      <c r="O393">
        <v>2</v>
      </c>
      <c r="P393">
        <v>10</v>
      </c>
      <c r="Q393" s="9">
        <v>230</v>
      </c>
      <c r="R393">
        <v>10</v>
      </c>
      <c r="S393" t="s">
        <v>68</v>
      </c>
      <c r="T393" s="11">
        <f t="shared" si="85"/>
        <v>20</v>
      </c>
      <c r="U393" s="11">
        <f t="shared" si="86"/>
        <v>20</v>
      </c>
      <c r="V393" t="str">
        <f t="shared" si="75"/>
        <v>SE7 8BL</v>
      </c>
      <c r="W393" t="str">
        <f t="shared" si="76"/>
        <v>BL9 9HR</v>
      </c>
      <c r="X393" s="12">
        <v>14640</v>
      </c>
      <c r="Y393" s="15">
        <f t="shared" si="78"/>
        <v>35</v>
      </c>
    </row>
    <row r="394" spans="1:25" x14ac:dyDescent="0.2">
      <c r="A394" t="s">
        <v>3</v>
      </c>
      <c r="B394" s="13">
        <v>42791</v>
      </c>
      <c r="C394" s="2" t="str">
        <f t="shared" si="79"/>
        <v>Sat</v>
      </c>
      <c r="D394" t="s">
        <v>15</v>
      </c>
      <c r="E394" t="s">
        <v>14</v>
      </c>
      <c r="F394" t="str">
        <f t="shared" si="80"/>
        <v>D</v>
      </c>
      <c r="G394">
        <f t="shared" si="81"/>
        <v>0</v>
      </c>
      <c r="H394" t="s">
        <v>32</v>
      </c>
      <c r="I394">
        <f t="shared" si="82"/>
        <v>0</v>
      </c>
      <c r="J394">
        <f t="shared" si="77"/>
        <v>10504</v>
      </c>
      <c r="K394" s="15">
        <f t="shared" si="83"/>
        <v>1000</v>
      </c>
      <c r="L394" s="15">
        <f t="shared" si="84"/>
        <v>345</v>
      </c>
      <c r="M394">
        <v>24</v>
      </c>
      <c r="N394">
        <v>10</v>
      </c>
      <c r="O394">
        <v>2</v>
      </c>
      <c r="P394">
        <v>12</v>
      </c>
      <c r="Q394" s="9">
        <v>130</v>
      </c>
      <c r="R394">
        <v>9</v>
      </c>
      <c r="S394" t="s">
        <v>68</v>
      </c>
      <c r="T394" s="11">
        <f t="shared" si="85"/>
        <v>22</v>
      </c>
      <c r="U394" s="11">
        <f t="shared" si="86"/>
        <v>20</v>
      </c>
      <c r="V394" t="str">
        <f t="shared" si="75"/>
        <v>S41 8NZ</v>
      </c>
      <c r="W394" t="str">
        <f t="shared" si="76"/>
        <v>OX4 4XP</v>
      </c>
      <c r="X394" s="12">
        <v>5901</v>
      </c>
      <c r="Y394" s="15">
        <f t="shared" si="78"/>
        <v>26</v>
      </c>
    </row>
    <row r="395" spans="1:25" x14ac:dyDescent="0.2">
      <c r="A395" t="s">
        <v>3</v>
      </c>
      <c r="B395" s="13">
        <v>42791</v>
      </c>
      <c r="C395" s="2" t="str">
        <f t="shared" si="79"/>
        <v>Sat</v>
      </c>
      <c r="D395" t="s">
        <v>25</v>
      </c>
      <c r="E395" t="s">
        <v>24</v>
      </c>
      <c r="F395" t="str">
        <f t="shared" si="80"/>
        <v>D</v>
      </c>
      <c r="G395">
        <f t="shared" si="81"/>
        <v>0</v>
      </c>
      <c r="H395" t="s">
        <v>32</v>
      </c>
      <c r="I395">
        <f t="shared" si="82"/>
        <v>0</v>
      </c>
      <c r="J395">
        <f t="shared" si="77"/>
        <v>32609</v>
      </c>
      <c r="K395" s="15">
        <f t="shared" si="83"/>
        <v>503</v>
      </c>
      <c r="L395" s="15">
        <f t="shared" si="84"/>
        <v>299</v>
      </c>
      <c r="M395">
        <v>23</v>
      </c>
      <c r="N395">
        <v>22</v>
      </c>
      <c r="O395">
        <v>4</v>
      </c>
      <c r="P395">
        <v>4</v>
      </c>
      <c r="Q395" s="9">
        <v>72</v>
      </c>
      <c r="R395">
        <v>9</v>
      </c>
      <c r="S395" t="s">
        <v>68</v>
      </c>
      <c r="T395" s="11">
        <f t="shared" si="85"/>
        <v>22</v>
      </c>
      <c r="U395" s="11">
        <f t="shared" si="86"/>
        <v>22</v>
      </c>
      <c r="V395" t="str">
        <f t="shared" si="75"/>
        <v>CV6 6GE</v>
      </c>
      <c r="W395" t="str">
        <f t="shared" si="76"/>
        <v>SN1 2ED</v>
      </c>
      <c r="X395" s="12">
        <v>9543</v>
      </c>
      <c r="Y395" s="15">
        <f t="shared" si="78"/>
        <v>26</v>
      </c>
    </row>
    <row r="396" spans="1:25" x14ac:dyDescent="0.2">
      <c r="A396" t="s">
        <v>3</v>
      </c>
      <c r="B396" s="13">
        <v>42791</v>
      </c>
      <c r="C396" s="2" t="str">
        <f t="shared" si="79"/>
        <v>Sat</v>
      </c>
      <c r="D396" t="s">
        <v>13</v>
      </c>
      <c r="E396" t="s">
        <v>12</v>
      </c>
      <c r="F396" t="str">
        <f t="shared" si="80"/>
        <v>D</v>
      </c>
      <c r="G396">
        <f t="shared" si="81"/>
        <v>0</v>
      </c>
      <c r="H396" t="s">
        <v>32</v>
      </c>
      <c r="I396">
        <f t="shared" si="82"/>
        <v>0</v>
      </c>
      <c r="J396">
        <f t="shared" si="77"/>
        <v>5327</v>
      </c>
      <c r="K396" s="15">
        <f t="shared" si="83"/>
        <v>843</v>
      </c>
      <c r="L396" s="15">
        <f t="shared" si="84"/>
        <v>210</v>
      </c>
      <c r="M396">
        <v>4</v>
      </c>
      <c r="N396">
        <v>15</v>
      </c>
      <c r="O396">
        <v>11</v>
      </c>
      <c r="P396">
        <v>7</v>
      </c>
      <c r="Q396" s="9">
        <v>182</v>
      </c>
      <c r="R396">
        <v>10</v>
      </c>
      <c r="T396" s="11">
        <f t="shared" si="85"/>
        <v>21.5</v>
      </c>
      <c r="U396" s="11">
        <f t="shared" si="86"/>
        <v>21.5</v>
      </c>
      <c r="V396" t="str">
        <f t="shared" si="75"/>
        <v>FY7 6TX</v>
      </c>
      <c r="W396" t="str">
        <f t="shared" si="76"/>
        <v>NN5 5QA</v>
      </c>
      <c r="X396" s="12">
        <v>3361</v>
      </c>
      <c r="Y396" s="15">
        <f t="shared" si="78"/>
        <v>23.5</v>
      </c>
    </row>
    <row r="397" spans="1:25" x14ac:dyDescent="0.2">
      <c r="A397" t="s">
        <v>3</v>
      </c>
      <c r="B397" s="13">
        <v>42791</v>
      </c>
      <c r="C397" s="2" t="str">
        <f t="shared" si="79"/>
        <v>Sat</v>
      </c>
      <c r="D397" t="s">
        <v>23</v>
      </c>
      <c r="E397" t="s">
        <v>22</v>
      </c>
      <c r="F397" t="str">
        <f t="shared" si="80"/>
        <v>D</v>
      </c>
      <c r="G397">
        <f t="shared" si="81"/>
        <v>0</v>
      </c>
      <c r="H397" t="s">
        <v>32</v>
      </c>
      <c r="I397">
        <f t="shared" si="82"/>
        <v>0</v>
      </c>
      <c r="J397">
        <f t="shared" si="77"/>
        <v>11582</v>
      </c>
      <c r="K397" s="15">
        <f t="shared" si="83"/>
        <v>635</v>
      </c>
      <c r="L397" s="15">
        <f t="shared" si="84"/>
        <v>285</v>
      </c>
      <c r="M397">
        <v>18</v>
      </c>
      <c r="N397">
        <v>5</v>
      </c>
      <c r="O397">
        <v>6</v>
      </c>
      <c r="P397">
        <v>7</v>
      </c>
      <c r="Q397" s="9">
        <v>131</v>
      </c>
      <c r="R397">
        <v>10</v>
      </c>
      <c r="S397" t="s">
        <v>68</v>
      </c>
      <c r="T397" s="11">
        <f t="shared" si="85"/>
        <v>12</v>
      </c>
      <c r="U397" s="11">
        <f t="shared" si="86"/>
        <v>10</v>
      </c>
      <c r="V397" t="str">
        <f t="shared" si="75"/>
        <v>ME7 4DD</v>
      </c>
      <c r="W397" t="str">
        <f t="shared" si="76"/>
        <v>SS2 6NQ</v>
      </c>
      <c r="X397" s="12">
        <v>6542</v>
      </c>
      <c r="Y397" s="15">
        <f t="shared" si="78"/>
        <v>28</v>
      </c>
    </row>
    <row r="398" spans="1:25" x14ac:dyDescent="0.2">
      <c r="A398" t="s">
        <v>3</v>
      </c>
      <c r="B398" s="13">
        <v>42791</v>
      </c>
      <c r="C398" s="2" t="str">
        <f t="shared" si="79"/>
        <v>Sat</v>
      </c>
      <c r="D398" t="s">
        <v>21</v>
      </c>
      <c r="E398" t="s">
        <v>20</v>
      </c>
      <c r="F398" t="str">
        <f t="shared" si="80"/>
        <v>D</v>
      </c>
      <c r="G398">
        <f t="shared" si="81"/>
        <v>0</v>
      </c>
      <c r="H398" t="s">
        <v>32</v>
      </c>
      <c r="I398">
        <f t="shared" si="82"/>
        <v>0</v>
      </c>
      <c r="J398">
        <f t="shared" si="77"/>
        <v>30500</v>
      </c>
      <c r="K398" s="15">
        <f t="shared" si="83"/>
        <v>438</v>
      </c>
      <c r="L398" s="15">
        <f t="shared" si="84"/>
        <v>312</v>
      </c>
      <c r="M398">
        <v>15</v>
      </c>
      <c r="N398">
        <v>17</v>
      </c>
      <c r="O398">
        <v>7</v>
      </c>
      <c r="P398">
        <v>9</v>
      </c>
      <c r="Q398" s="9">
        <v>113</v>
      </c>
      <c r="R398">
        <v>10</v>
      </c>
      <c r="T398" s="11">
        <f t="shared" si="85"/>
        <v>22</v>
      </c>
      <c r="U398" s="11">
        <f t="shared" si="86"/>
        <v>22</v>
      </c>
      <c r="V398" t="str">
        <f t="shared" si="75"/>
        <v>MK1 1ST</v>
      </c>
      <c r="W398" t="str">
        <f t="shared" si="76"/>
        <v>SY2 6ST</v>
      </c>
      <c r="X398" s="12">
        <v>8322</v>
      </c>
      <c r="Y398" s="15">
        <f t="shared" si="78"/>
        <v>27</v>
      </c>
    </row>
    <row r="399" spans="1:25" x14ac:dyDescent="0.2">
      <c r="A399" t="s">
        <v>3</v>
      </c>
      <c r="B399" s="13">
        <v>42791</v>
      </c>
      <c r="C399" s="2" t="str">
        <f t="shared" si="79"/>
        <v>Sat</v>
      </c>
      <c r="D399" t="s">
        <v>11</v>
      </c>
      <c r="E399" t="s">
        <v>10</v>
      </c>
      <c r="F399" t="str">
        <f t="shared" si="80"/>
        <v>D</v>
      </c>
      <c r="G399">
        <f t="shared" si="81"/>
        <v>0</v>
      </c>
      <c r="H399" t="s">
        <v>32</v>
      </c>
      <c r="I399">
        <f t="shared" si="82"/>
        <v>0</v>
      </c>
      <c r="J399">
        <f t="shared" si="77"/>
        <v>13559</v>
      </c>
      <c r="K399" s="15">
        <f t="shared" si="83"/>
        <v>827</v>
      </c>
      <c r="L399" s="15">
        <f t="shared" si="84"/>
        <v>300</v>
      </c>
      <c r="M399">
        <v>19</v>
      </c>
      <c r="N399">
        <v>7</v>
      </c>
      <c r="O399">
        <v>8</v>
      </c>
      <c r="P399">
        <v>11</v>
      </c>
      <c r="Q399" s="9">
        <v>97</v>
      </c>
      <c r="R399">
        <v>10</v>
      </c>
      <c r="S399" t="s">
        <v>68</v>
      </c>
      <c r="T399" s="11">
        <f t="shared" si="85"/>
        <v>22</v>
      </c>
      <c r="U399" s="11">
        <f t="shared" si="86"/>
        <v>24</v>
      </c>
      <c r="V399" t="str">
        <f t="shared" ref="V399:V462" si="87">IF(D399="Bolton","BL6 6JW",IF(D399="Bradford","BD8 7DY",IF(D399="Bury","BL9 9HR",IF(D399="Millwall","SE16 3LN",IF(D399="Northampton","NN5 5QA",IF(D399="Oxford","OX4 4XP",IF(D399="Rochdale","OL11 5DR",IF(D399="Scunthorpe","DN15 8TD",IF(D399="Shrewsbury","SY2 6ST",IF(D399="Southend","SS2 6NQ",IF(D399="Swindon","SN1 2ED",IF(D399="Walsall","WS1 4SA",IF(D399="Sheffield United","S2 4SU",IF(D399="Port Vale","ST6 1AW",IF(D399="Charlton","SE7 8BL",IF(D399="Oldham","OL1 2PA",IF(D399="Fleetwood Town","FY7 6TX",IF(D399="Chesterfield","S41 8NZ",IF(D399="Peterboro","PE2 8AL",IF(D399="Bristol Rvs","BS7 0BF",IF(D399="Milton Keynes Dons","MK1 1ST",IF(D399="Gillingham","ME7 4DD",IF(D399="Coventry","CV6 6GE",IF(D399="AFC Wimbledon","KT1 3PB"))))))))))))))))))))))))</f>
        <v>OL1 2PA</v>
      </c>
      <c r="W399" t="str">
        <f t="shared" ref="W399:W462" si="88">IF(E399="Bolton","BL6 6JW",IF(E399="Bradford","BD8 7DY",IF(E399="Bury","BL9 9HR",IF(E399="Millwall","SE16 3LN",IF(E399="Northampton","NN5 5QA",IF(E399="Oxford","OX4 4XP",IF(E399="Rochdale","OL11 5DR",IF(E399="Scunthorpe","DN15 8TD",IF(E399="Shrewsbury","SY2 6ST",IF(E399="Southend","SS2 6NQ",IF(E399="Swindon","SN1 2ED",IF(E399="Walsall","WS1 4SA",IF(E399="Sheffield United","S2 4SU",IF(E399="Port Vale","ST6 1AW",IF(E399="Charlton","SE7 8BL",IF(E399="Oldham","OL1 2PA",IF(E399="Fleetwood Town","FY7 6TX",IF(E399="Chesterfield","S41 8NZ",IF(E399="Peterboro","PE2 8AL",IF(E399="Bristol Rvs","BS7 0BF",IF(E399="Milton Keynes Dons","MK1 1ST",IF(E399="Gillingham","ME7 4DD",IF(E399="Coventry","CV6 6GE",IF(E399="AFC Wimbledon","KT1 3PB"))))))))))))))))))))))))</f>
        <v>SE16 3LN</v>
      </c>
      <c r="X399" s="12">
        <v>3856</v>
      </c>
      <c r="Y399" s="15">
        <f t="shared" si="78"/>
        <v>24</v>
      </c>
    </row>
    <row r="400" spans="1:25" x14ac:dyDescent="0.2">
      <c r="A400" t="s">
        <v>3</v>
      </c>
      <c r="B400" s="13">
        <v>42791</v>
      </c>
      <c r="C400" s="2" t="str">
        <f t="shared" si="79"/>
        <v>Sat</v>
      </c>
      <c r="D400" t="s">
        <v>17</v>
      </c>
      <c r="E400" t="s">
        <v>16</v>
      </c>
      <c r="F400" t="str">
        <f t="shared" si="80"/>
        <v>D</v>
      </c>
      <c r="G400">
        <f t="shared" si="81"/>
        <v>0</v>
      </c>
      <c r="H400" t="s">
        <v>32</v>
      </c>
      <c r="I400">
        <f t="shared" si="82"/>
        <v>0</v>
      </c>
      <c r="J400">
        <f t="shared" si="77"/>
        <v>15314</v>
      </c>
      <c r="K400" s="15">
        <f t="shared" si="83"/>
        <v>497</v>
      </c>
      <c r="L400" s="15">
        <f t="shared" si="84"/>
        <v>295</v>
      </c>
      <c r="M400">
        <v>9</v>
      </c>
      <c r="N400">
        <v>8</v>
      </c>
      <c r="O400">
        <v>6</v>
      </c>
      <c r="P400">
        <v>3</v>
      </c>
      <c r="Q400" s="9">
        <v>146</v>
      </c>
      <c r="R400">
        <v>6</v>
      </c>
      <c r="T400" s="11">
        <f t="shared" si="85"/>
        <v>21</v>
      </c>
      <c r="U400" s="11">
        <f t="shared" si="86"/>
        <v>20</v>
      </c>
      <c r="V400" t="str">
        <f t="shared" si="87"/>
        <v>PE2 8AL</v>
      </c>
      <c r="W400" t="str">
        <f t="shared" si="88"/>
        <v>OL11 5DR</v>
      </c>
      <c r="X400" s="12">
        <v>4457</v>
      </c>
      <c r="Y400" s="15">
        <f t="shared" si="78"/>
        <v>26</v>
      </c>
    </row>
    <row r="401" spans="1:25" x14ac:dyDescent="0.2">
      <c r="A401" t="s">
        <v>3</v>
      </c>
      <c r="B401" s="13">
        <v>42791</v>
      </c>
      <c r="C401" s="2" t="str">
        <f t="shared" si="79"/>
        <v>Sat</v>
      </c>
      <c r="D401" t="s">
        <v>7</v>
      </c>
      <c r="E401" t="s">
        <v>6</v>
      </c>
      <c r="F401" t="str">
        <f t="shared" si="80"/>
        <v>D</v>
      </c>
      <c r="G401">
        <f t="shared" si="81"/>
        <v>0</v>
      </c>
      <c r="H401" t="s">
        <v>32</v>
      </c>
      <c r="I401">
        <f t="shared" si="82"/>
        <v>0</v>
      </c>
      <c r="J401">
        <f t="shared" si="77"/>
        <v>18947</v>
      </c>
      <c r="K401" s="15">
        <f t="shared" si="83"/>
        <v>1437</v>
      </c>
      <c r="L401" s="15">
        <f t="shared" si="84"/>
        <v>345</v>
      </c>
      <c r="M401">
        <v>20</v>
      </c>
      <c r="N401">
        <v>6</v>
      </c>
      <c r="O401">
        <v>2</v>
      </c>
      <c r="P401">
        <v>6</v>
      </c>
      <c r="Q401" s="9">
        <v>102</v>
      </c>
      <c r="R401">
        <v>10</v>
      </c>
      <c r="T401" s="11">
        <f t="shared" si="85"/>
        <v>22</v>
      </c>
      <c r="U401" s="11">
        <f t="shared" si="86"/>
        <v>22</v>
      </c>
      <c r="V401" t="str">
        <f t="shared" si="87"/>
        <v>ST6 1AW</v>
      </c>
      <c r="W401" t="str">
        <f t="shared" si="88"/>
        <v>BD8 7DY</v>
      </c>
      <c r="X401" s="12">
        <v>4953</v>
      </c>
      <c r="Y401" s="15">
        <f t="shared" si="78"/>
        <v>23</v>
      </c>
    </row>
    <row r="402" spans="1:25" x14ac:dyDescent="0.2">
      <c r="A402" t="s">
        <v>3</v>
      </c>
      <c r="B402" s="13">
        <v>42791</v>
      </c>
      <c r="C402" s="2" t="str">
        <f t="shared" si="79"/>
        <v>Sat</v>
      </c>
      <c r="D402" t="s">
        <v>5</v>
      </c>
      <c r="E402" t="s">
        <v>4</v>
      </c>
      <c r="F402" t="str">
        <f t="shared" si="80"/>
        <v>D</v>
      </c>
      <c r="G402">
        <f t="shared" si="81"/>
        <v>0</v>
      </c>
      <c r="H402" t="s">
        <v>32</v>
      </c>
      <c r="I402">
        <f t="shared" si="82"/>
        <v>0</v>
      </c>
      <c r="J402">
        <f t="shared" si="77"/>
        <v>32702</v>
      </c>
      <c r="K402" s="15">
        <f t="shared" si="83"/>
        <v>912</v>
      </c>
      <c r="L402" s="15">
        <f t="shared" si="84"/>
        <v>288</v>
      </c>
      <c r="M402">
        <v>1</v>
      </c>
      <c r="N402">
        <v>2</v>
      </c>
      <c r="O402">
        <v>11</v>
      </c>
      <c r="P402">
        <v>8</v>
      </c>
      <c r="Q402" s="9">
        <v>58</v>
      </c>
      <c r="R402">
        <v>10</v>
      </c>
      <c r="T402" s="11">
        <f t="shared" si="85"/>
        <v>20</v>
      </c>
      <c r="U402" s="11">
        <f t="shared" si="86"/>
        <v>20</v>
      </c>
      <c r="V402" t="str">
        <f t="shared" si="87"/>
        <v>S2 4SU</v>
      </c>
      <c r="W402" t="str">
        <f t="shared" si="88"/>
        <v>BL6 6JW</v>
      </c>
      <c r="X402" s="12">
        <v>27165</v>
      </c>
      <c r="Y402" s="15">
        <f t="shared" si="78"/>
        <v>29</v>
      </c>
    </row>
    <row r="403" spans="1:25" x14ac:dyDescent="0.2">
      <c r="A403" t="s">
        <v>3</v>
      </c>
      <c r="B403" s="13">
        <v>42794</v>
      </c>
      <c r="C403" s="2" t="str">
        <f t="shared" si="79"/>
        <v>Tue</v>
      </c>
      <c r="D403" t="s">
        <v>4</v>
      </c>
      <c r="E403" t="s">
        <v>19</v>
      </c>
      <c r="F403" t="str">
        <f t="shared" si="80"/>
        <v>E</v>
      </c>
      <c r="G403">
        <f t="shared" si="81"/>
        <v>1</v>
      </c>
      <c r="H403" t="s">
        <v>32</v>
      </c>
      <c r="I403">
        <f t="shared" si="82"/>
        <v>0</v>
      </c>
      <c r="J403">
        <f t="shared" si="77"/>
        <v>28723</v>
      </c>
      <c r="K403" s="15">
        <f t="shared" si="83"/>
        <v>1159</v>
      </c>
      <c r="L403" s="15">
        <f t="shared" si="84"/>
        <v>280</v>
      </c>
      <c r="M403">
        <v>4</v>
      </c>
      <c r="N403">
        <v>11</v>
      </c>
      <c r="O403">
        <v>8</v>
      </c>
      <c r="P403">
        <v>5</v>
      </c>
      <c r="Q403" s="9">
        <v>181</v>
      </c>
      <c r="R403">
        <v>5</v>
      </c>
      <c r="T403" s="11">
        <f t="shared" si="85"/>
        <v>15</v>
      </c>
      <c r="U403" s="11">
        <f t="shared" si="86"/>
        <v>15</v>
      </c>
      <c r="V403" t="str">
        <f t="shared" si="87"/>
        <v>BL6 6JW</v>
      </c>
      <c r="W403" t="str">
        <f t="shared" si="88"/>
        <v>BS7 0BF</v>
      </c>
      <c r="X403" s="12">
        <v>13383</v>
      </c>
      <c r="Y403" s="15">
        <f t="shared" si="78"/>
        <v>30</v>
      </c>
    </row>
    <row r="404" spans="1:25" x14ac:dyDescent="0.2">
      <c r="A404" t="s">
        <v>3</v>
      </c>
      <c r="B404" s="13">
        <v>42794</v>
      </c>
      <c r="C404" s="2" t="str">
        <f t="shared" si="79"/>
        <v>Tue</v>
      </c>
      <c r="D404" t="s">
        <v>6</v>
      </c>
      <c r="E404" t="s">
        <v>21</v>
      </c>
      <c r="F404" t="str">
        <f t="shared" si="80"/>
        <v>E</v>
      </c>
      <c r="G404">
        <f t="shared" si="81"/>
        <v>1</v>
      </c>
      <c r="H404" t="s">
        <v>32</v>
      </c>
      <c r="I404">
        <f t="shared" si="82"/>
        <v>0</v>
      </c>
      <c r="J404">
        <f t="shared" si="77"/>
        <v>25136</v>
      </c>
      <c r="K404" s="15">
        <f t="shared" si="83"/>
        <v>596</v>
      </c>
      <c r="L404" s="15">
        <f t="shared" si="84"/>
        <v>149</v>
      </c>
      <c r="M404">
        <v>5</v>
      </c>
      <c r="N404">
        <v>15</v>
      </c>
      <c r="O404">
        <v>6</v>
      </c>
      <c r="P404">
        <v>5</v>
      </c>
      <c r="Q404" s="9">
        <v>155</v>
      </c>
      <c r="R404">
        <v>3</v>
      </c>
      <c r="S404" t="s">
        <v>68</v>
      </c>
      <c r="T404" s="11">
        <f t="shared" si="85"/>
        <v>25</v>
      </c>
      <c r="U404" s="11">
        <f t="shared" si="86"/>
        <v>20</v>
      </c>
      <c r="V404" t="str">
        <f t="shared" si="87"/>
        <v>BD8 7DY</v>
      </c>
      <c r="W404" t="str">
        <f t="shared" si="88"/>
        <v>MK1 1ST</v>
      </c>
      <c r="X404" s="12">
        <v>16725</v>
      </c>
      <c r="Y404" s="15">
        <f t="shared" si="78"/>
        <v>25</v>
      </c>
    </row>
    <row r="405" spans="1:25" x14ac:dyDescent="0.2">
      <c r="A405" t="s">
        <v>3</v>
      </c>
      <c r="B405" s="13">
        <v>42794</v>
      </c>
      <c r="C405" s="2" t="str">
        <f t="shared" si="79"/>
        <v>Tue</v>
      </c>
      <c r="D405" t="s">
        <v>8</v>
      </c>
      <c r="E405" t="s">
        <v>25</v>
      </c>
      <c r="F405" t="str">
        <f t="shared" si="80"/>
        <v>E</v>
      </c>
      <c r="G405">
        <f t="shared" si="81"/>
        <v>1</v>
      </c>
      <c r="H405" t="s">
        <v>32</v>
      </c>
      <c r="I405">
        <f t="shared" si="82"/>
        <v>0</v>
      </c>
      <c r="J405">
        <f t="shared" si="77"/>
        <v>11841</v>
      </c>
      <c r="K405" s="15">
        <f t="shared" si="83"/>
        <v>1280</v>
      </c>
      <c r="L405" s="15">
        <f t="shared" si="84"/>
        <v>275</v>
      </c>
      <c r="M405">
        <v>19</v>
      </c>
      <c r="N405">
        <v>23</v>
      </c>
      <c r="O405">
        <v>13</v>
      </c>
      <c r="P405">
        <v>4</v>
      </c>
      <c r="Q405" s="9">
        <v>116</v>
      </c>
      <c r="R405">
        <v>5</v>
      </c>
      <c r="S405" t="s">
        <v>74</v>
      </c>
      <c r="T405" s="11">
        <f t="shared" si="85"/>
        <v>18</v>
      </c>
      <c r="U405" s="11">
        <f t="shared" si="86"/>
        <v>18</v>
      </c>
      <c r="V405" t="str">
        <f t="shared" si="87"/>
        <v>BL9 9HR</v>
      </c>
      <c r="W405" t="str">
        <f t="shared" si="88"/>
        <v>CV6 6GE</v>
      </c>
      <c r="X405" s="12">
        <v>2611</v>
      </c>
      <c r="Y405" s="15">
        <f t="shared" si="78"/>
        <v>22</v>
      </c>
    </row>
    <row r="406" spans="1:25" x14ac:dyDescent="0.2">
      <c r="A406" t="s">
        <v>3</v>
      </c>
      <c r="B406" s="13">
        <v>42794</v>
      </c>
      <c r="C406" s="2" t="str">
        <f t="shared" si="79"/>
        <v>Tue</v>
      </c>
      <c r="D406" t="s">
        <v>10</v>
      </c>
      <c r="E406" t="s">
        <v>17</v>
      </c>
      <c r="F406" t="str">
        <f t="shared" si="80"/>
        <v>E</v>
      </c>
      <c r="G406">
        <f t="shared" si="81"/>
        <v>1</v>
      </c>
      <c r="H406" t="s">
        <v>32</v>
      </c>
      <c r="I406">
        <f t="shared" si="82"/>
        <v>0</v>
      </c>
      <c r="J406">
        <f t="shared" si="77"/>
        <v>20146</v>
      </c>
      <c r="K406" s="15">
        <f t="shared" si="83"/>
        <v>598</v>
      </c>
      <c r="L406" s="15">
        <f t="shared" si="84"/>
        <v>333</v>
      </c>
      <c r="M406">
        <v>7</v>
      </c>
      <c r="N406">
        <v>8</v>
      </c>
      <c r="O406">
        <v>11</v>
      </c>
      <c r="P406">
        <v>6</v>
      </c>
      <c r="Q406" s="9">
        <v>97</v>
      </c>
      <c r="R406">
        <v>7</v>
      </c>
      <c r="T406" s="11">
        <f t="shared" si="85"/>
        <v>22</v>
      </c>
      <c r="U406" s="11">
        <f t="shared" si="86"/>
        <v>23</v>
      </c>
      <c r="V406" t="str">
        <f t="shared" si="87"/>
        <v>SE16 3LN</v>
      </c>
      <c r="W406" t="str">
        <f t="shared" si="88"/>
        <v>PE2 8AL</v>
      </c>
      <c r="X406" s="12">
        <v>8032</v>
      </c>
      <c r="Y406" s="15">
        <f t="shared" si="78"/>
        <v>30</v>
      </c>
    </row>
    <row r="407" spans="1:25" x14ac:dyDescent="0.2">
      <c r="A407" t="s">
        <v>3</v>
      </c>
      <c r="B407" s="13">
        <v>42794</v>
      </c>
      <c r="C407" s="2" t="str">
        <f t="shared" si="79"/>
        <v>Tue</v>
      </c>
      <c r="D407" t="s">
        <v>12</v>
      </c>
      <c r="E407" t="s">
        <v>11</v>
      </c>
      <c r="F407" t="str">
        <f t="shared" si="80"/>
        <v>E</v>
      </c>
      <c r="G407">
        <f t="shared" si="81"/>
        <v>1</v>
      </c>
      <c r="H407" t="s">
        <v>32</v>
      </c>
      <c r="I407">
        <f t="shared" si="82"/>
        <v>0</v>
      </c>
      <c r="J407">
        <f t="shared" si="77"/>
        <v>7653</v>
      </c>
      <c r="K407" s="15">
        <f t="shared" si="83"/>
        <v>729</v>
      </c>
      <c r="L407" s="15">
        <f t="shared" si="84"/>
        <v>249</v>
      </c>
      <c r="M407">
        <v>16</v>
      </c>
      <c r="N407">
        <v>20</v>
      </c>
      <c r="O407">
        <v>7</v>
      </c>
      <c r="P407">
        <v>11</v>
      </c>
      <c r="Q407" s="9">
        <v>150</v>
      </c>
      <c r="R407">
        <v>6</v>
      </c>
      <c r="T407" s="11">
        <f t="shared" si="85"/>
        <v>24</v>
      </c>
      <c r="U407" s="11">
        <f t="shared" si="86"/>
        <v>24</v>
      </c>
      <c r="V407" t="str">
        <f t="shared" si="87"/>
        <v>NN5 5QA</v>
      </c>
      <c r="W407" t="str">
        <f t="shared" si="88"/>
        <v>OL1 2PA</v>
      </c>
      <c r="X407" s="12">
        <v>4686</v>
      </c>
      <c r="Y407" s="15">
        <f t="shared" si="78"/>
        <v>24</v>
      </c>
    </row>
    <row r="408" spans="1:25" x14ac:dyDescent="0.2">
      <c r="A408" t="s">
        <v>3</v>
      </c>
      <c r="B408" s="13">
        <v>42794</v>
      </c>
      <c r="C408" s="2" t="str">
        <f t="shared" si="79"/>
        <v>Tue</v>
      </c>
      <c r="D408" t="s">
        <v>18</v>
      </c>
      <c r="E408" t="s">
        <v>27</v>
      </c>
      <c r="F408" t="str">
        <f t="shared" si="80"/>
        <v>E</v>
      </c>
      <c r="G408">
        <f t="shared" si="81"/>
        <v>1</v>
      </c>
      <c r="H408" t="s">
        <v>32</v>
      </c>
      <c r="I408">
        <f t="shared" si="82"/>
        <v>0</v>
      </c>
      <c r="J408">
        <f t="shared" si="77"/>
        <v>9183</v>
      </c>
      <c r="K408" s="15">
        <f t="shared" si="83"/>
        <v>622</v>
      </c>
      <c r="L408" s="15">
        <f t="shared" si="84"/>
        <v>288</v>
      </c>
      <c r="M408">
        <v>3</v>
      </c>
      <c r="N408">
        <v>13</v>
      </c>
      <c r="O408">
        <v>3</v>
      </c>
      <c r="P408">
        <v>8</v>
      </c>
      <c r="Q408" s="9">
        <v>177</v>
      </c>
      <c r="R408">
        <v>5</v>
      </c>
      <c r="T408" s="11">
        <f t="shared" si="85"/>
        <v>18</v>
      </c>
      <c r="U408" s="11">
        <f t="shared" si="86"/>
        <v>22</v>
      </c>
      <c r="V408" t="str">
        <f t="shared" si="87"/>
        <v>DN15 8TD</v>
      </c>
      <c r="W408" t="str">
        <f t="shared" si="88"/>
        <v>KT1 3PB</v>
      </c>
      <c r="X408" s="12">
        <v>3368</v>
      </c>
      <c r="Y408" s="15">
        <f t="shared" si="78"/>
        <v>23</v>
      </c>
    </row>
    <row r="409" spans="1:25" x14ac:dyDescent="0.2">
      <c r="A409" t="s">
        <v>3</v>
      </c>
      <c r="B409" s="13">
        <v>42794</v>
      </c>
      <c r="C409" s="2" t="str">
        <f t="shared" si="79"/>
        <v>Tue</v>
      </c>
      <c r="D409" t="s">
        <v>20</v>
      </c>
      <c r="E409" t="s">
        <v>9</v>
      </c>
      <c r="F409" t="str">
        <f t="shared" si="80"/>
        <v>E</v>
      </c>
      <c r="G409">
        <f t="shared" si="81"/>
        <v>1</v>
      </c>
      <c r="H409" t="s">
        <v>32</v>
      </c>
      <c r="I409">
        <f t="shared" si="82"/>
        <v>0</v>
      </c>
      <c r="J409">
        <f t="shared" si="77"/>
        <v>9875</v>
      </c>
      <c r="K409" s="15">
        <f t="shared" si="83"/>
        <v>680</v>
      </c>
      <c r="L409" s="15">
        <f t="shared" si="84"/>
        <v>285</v>
      </c>
      <c r="M409">
        <v>18</v>
      </c>
      <c r="N409">
        <v>14</v>
      </c>
      <c r="O409">
        <v>9</v>
      </c>
      <c r="P409">
        <v>1</v>
      </c>
      <c r="Q409" s="9">
        <v>183</v>
      </c>
      <c r="R409">
        <v>6</v>
      </c>
      <c r="S409" t="s">
        <v>68</v>
      </c>
      <c r="T409" s="11">
        <f t="shared" si="85"/>
        <v>20</v>
      </c>
      <c r="U409" s="11">
        <f t="shared" si="86"/>
        <v>20</v>
      </c>
      <c r="V409" t="str">
        <f t="shared" si="87"/>
        <v>SY2 6ST</v>
      </c>
      <c r="W409" t="str">
        <f t="shared" si="88"/>
        <v>SE7 8BL</v>
      </c>
      <c r="X409" s="12">
        <v>4913</v>
      </c>
      <c r="Y409" s="15">
        <f t="shared" si="78"/>
        <v>22</v>
      </c>
    </row>
    <row r="410" spans="1:25" x14ac:dyDescent="0.2">
      <c r="A410" t="s">
        <v>3</v>
      </c>
      <c r="B410" s="13">
        <v>42794</v>
      </c>
      <c r="C410" s="2" t="str">
        <f t="shared" si="79"/>
        <v>Tue</v>
      </c>
      <c r="D410" t="s">
        <v>24</v>
      </c>
      <c r="E410" t="s">
        <v>23</v>
      </c>
      <c r="F410" t="str">
        <f t="shared" si="80"/>
        <v>E</v>
      </c>
      <c r="G410">
        <f t="shared" si="81"/>
        <v>1</v>
      </c>
      <c r="H410" t="s">
        <v>32</v>
      </c>
      <c r="I410">
        <f t="shared" si="82"/>
        <v>0</v>
      </c>
      <c r="J410">
        <f t="shared" ref="J410:J473" si="89">IF(D410="AFC Wimbledon",4850,IF(D410="Bolton",28723,IF(D410="Bradford",25136,IF(D410="Bury",11841,IF(D410="Millwall",20146,IF(D410="Northampton",7653,IF(D410="Oxford",12500,IF(D410="Rochdale",10249,IF(D410="Scunthorpe",9183,IF(D410="Shrewsbury",9875,IF(D410="Southend",12392,IF(D410="Swindon",15728,IF(D410="Walsall",11300,IF(D410="Charlton",26875,IF(D410="Chesterfield",10504,IF(D410="Coventry",32609,IF(D410="Fleetwood Town",5327,IF(D410="Gillingham",11582,IF(D410="Milton Keynes Dons",30500,IF(D410="Oldham",13559,IF(D410="Peterboro",15314,IF(D410="Port Vale",18947,IF(D410="Sheffield United",32702,IF(D410="Bristol Rvs",12000))))))))))))))))))))))))</f>
        <v>15728</v>
      </c>
      <c r="K410" s="15">
        <f t="shared" si="83"/>
        <v>533</v>
      </c>
      <c r="L410" s="15">
        <f t="shared" si="84"/>
        <v>345</v>
      </c>
      <c r="M410">
        <v>22</v>
      </c>
      <c r="N410">
        <v>17</v>
      </c>
      <c r="O410">
        <v>7</v>
      </c>
      <c r="P410">
        <v>5</v>
      </c>
      <c r="Q410" s="9">
        <v>134</v>
      </c>
      <c r="R410">
        <v>7</v>
      </c>
      <c r="T410" s="11">
        <f t="shared" si="85"/>
        <v>19</v>
      </c>
      <c r="U410" s="11">
        <f t="shared" si="86"/>
        <v>19</v>
      </c>
      <c r="V410" t="str">
        <f t="shared" si="87"/>
        <v>SN1 2ED</v>
      </c>
      <c r="W410" t="str">
        <f t="shared" si="88"/>
        <v>ME7 4DD</v>
      </c>
      <c r="X410" s="12">
        <v>6133</v>
      </c>
      <c r="Y410" s="15">
        <f t="shared" si="78"/>
        <v>25</v>
      </c>
    </row>
    <row r="411" spans="1:25" x14ac:dyDescent="0.2">
      <c r="A411" t="s">
        <v>3</v>
      </c>
      <c r="B411" s="13">
        <v>42798</v>
      </c>
      <c r="C411" s="2" t="str">
        <f t="shared" si="79"/>
        <v>Sat</v>
      </c>
      <c r="D411" t="s">
        <v>4</v>
      </c>
      <c r="E411" t="s">
        <v>27</v>
      </c>
      <c r="F411" t="str">
        <f t="shared" si="80"/>
        <v>D</v>
      </c>
      <c r="G411">
        <f t="shared" si="81"/>
        <v>0</v>
      </c>
      <c r="H411" t="s">
        <v>32</v>
      </c>
      <c r="I411">
        <f t="shared" si="82"/>
        <v>0</v>
      </c>
      <c r="J411">
        <f t="shared" si="89"/>
        <v>28723</v>
      </c>
      <c r="K411" s="15">
        <f t="shared" si="83"/>
        <v>622</v>
      </c>
      <c r="L411" s="15">
        <f t="shared" si="84"/>
        <v>280</v>
      </c>
      <c r="M411">
        <v>4</v>
      </c>
      <c r="N411">
        <v>12</v>
      </c>
      <c r="O411">
        <v>8</v>
      </c>
      <c r="P411">
        <v>8</v>
      </c>
      <c r="Q411" s="9">
        <v>235</v>
      </c>
      <c r="R411">
        <v>9</v>
      </c>
      <c r="T411" s="11">
        <f t="shared" si="85"/>
        <v>15</v>
      </c>
      <c r="U411" s="11">
        <f t="shared" si="86"/>
        <v>15</v>
      </c>
      <c r="V411" t="str">
        <f t="shared" si="87"/>
        <v>BL6 6JW</v>
      </c>
      <c r="W411" t="str">
        <f t="shared" si="88"/>
        <v>KT1 3PB</v>
      </c>
      <c r="X411" s="12">
        <v>13599</v>
      </c>
      <c r="Y411" s="15">
        <f t="shared" si="78"/>
        <v>30</v>
      </c>
    </row>
    <row r="412" spans="1:25" x14ac:dyDescent="0.2">
      <c r="A412" t="s">
        <v>3</v>
      </c>
      <c r="B412" s="13">
        <v>42798</v>
      </c>
      <c r="C412" s="2" t="str">
        <f t="shared" si="79"/>
        <v>Sat</v>
      </c>
      <c r="D412" t="s">
        <v>6</v>
      </c>
      <c r="E412" t="s">
        <v>17</v>
      </c>
      <c r="F412" t="str">
        <f t="shared" si="80"/>
        <v>D</v>
      </c>
      <c r="G412">
        <f t="shared" si="81"/>
        <v>0</v>
      </c>
      <c r="H412" t="s">
        <v>32</v>
      </c>
      <c r="I412">
        <f t="shared" si="82"/>
        <v>0</v>
      </c>
      <c r="J412">
        <f t="shared" si="89"/>
        <v>25136</v>
      </c>
      <c r="K412" s="15">
        <f t="shared" si="83"/>
        <v>598</v>
      </c>
      <c r="L412" s="15">
        <f t="shared" si="84"/>
        <v>149</v>
      </c>
      <c r="M412">
        <v>5</v>
      </c>
      <c r="N412">
        <v>9</v>
      </c>
      <c r="O412">
        <v>6</v>
      </c>
      <c r="P412">
        <v>6</v>
      </c>
      <c r="Q412" s="9">
        <v>125</v>
      </c>
      <c r="R412">
        <v>11</v>
      </c>
      <c r="T412" s="11">
        <f t="shared" si="85"/>
        <v>25</v>
      </c>
      <c r="U412" s="11">
        <f t="shared" si="86"/>
        <v>20</v>
      </c>
      <c r="V412" t="str">
        <f t="shared" si="87"/>
        <v>BD8 7DY</v>
      </c>
      <c r="W412" t="str">
        <f t="shared" si="88"/>
        <v>PE2 8AL</v>
      </c>
      <c r="X412" s="12">
        <v>17220</v>
      </c>
      <c r="Y412" s="15">
        <f t="shared" si="78"/>
        <v>25</v>
      </c>
    </row>
    <row r="413" spans="1:25" x14ac:dyDescent="0.2">
      <c r="A413" t="s">
        <v>3</v>
      </c>
      <c r="B413" s="13">
        <v>42798</v>
      </c>
      <c r="C413" s="2" t="str">
        <f t="shared" si="79"/>
        <v>Sat</v>
      </c>
      <c r="D413" t="s">
        <v>8</v>
      </c>
      <c r="E413" t="s">
        <v>23</v>
      </c>
      <c r="F413" t="str">
        <f t="shared" si="80"/>
        <v>D</v>
      </c>
      <c r="G413">
        <f t="shared" si="81"/>
        <v>0</v>
      </c>
      <c r="H413" t="s">
        <v>32</v>
      </c>
      <c r="I413">
        <f t="shared" si="82"/>
        <v>0</v>
      </c>
      <c r="J413">
        <f t="shared" si="89"/>
        <v>11841</v>
      </c>
      <c r="K413" s="15">
        <f t="shared" si="83"/>
        <v>533</v>
      </c>
      <c r="L413" s="15">
        <f t="shared" si="84"/>
        <v>275</v>
      </c>
      <c r="M413">
        <v>18</v>
      </c>
      <c r="N413">
        <v>19</v>
      </c>
      <c r="O413">
        <v>13</v>
      </c>
      <c r="P413">
        <v>5</v>
      </c>
      <c r="Q413" s="9">
        <v>94</v>
      </c>
      <c r="R413">
        <v>9</v>
      </c>
      <c r="T413" s="11">
        <f t="shared" si="85"/>
        <v>18</v>
      </c>
      <c r="U413" s="11">
        <f t="shared" si="86"/>
        <v>18</v>
      </c>
      <c r="V413" t="str">
        <f t="shared" si="87"/>
        <v>BL9 9HR</v>
      </c>
      <c r="W413" t="str">
        <f t="shared" si="88"/>
        <v>ME7 4DD</v>
      </c>
      <c r="X413" s="12">
        <v>3203</v>
      </c>
      <c r="Y413" s="15">
        <f t="shared" si="78"/>
        <v>22</v>
      </c>
    </row>
    <row r="414" spans="1:25" x14ac:dyDescent="0.2">
      <c r="A414" t="s">
        <v>3</v>
      </c>
      <c r="B414" s="13">
        <v>42798</v>
      </c>
      <c r="C414" s="2" t="str">
        <f t="shared" si="79"/>
        <v>Sat</v>
      </c>
      <c r="D414" t="s">
        <v>10</v>
      </c>
      <c r="E414" t="s">
        <v>21</v>
      </c>
      <c r="F414" t="str">
        <f t="shared" si="80"/>
        <v>D</v>
      </c>
      <c r="G414">
        <f t="shared" si="81"/>
        <v>0</v>
      </c>
      <c r="H414" t="s">
        <v>32</v>
      </c>
      <c r="I414">
        <f t="shared" si="82"/>
        <v>0</v>
      </c>
      <c r="J414">
        <f t="shared" si="89"/>
        <v>20146</v>
      </c>
      <c r="K414" s="15">
        <f t="shared" si="83"/>
        <v>596</v>
      </c>
      <c r="L414" s="15">
        <f t="shared" si="84"/>
        <v>333</v>
      </c>
      <c r="M414">
        <v>6</v>
      </c>
      <c r="N414">
        <v>15</v>
      </c>
      <c r="O414">
        <v>11</v>
      </c>
      <c r="P414">
        <v>5</v>
      </c>
      <c r="Q414" s="9">
        <v>59</v>
      </c>
      <c r="R414">
        <v>12</v>
      </c>
      <c r="T414" s="11">
        <f t="shared" si="85"/>
        <v>22</v>
      </c>
      <c r="U414" s="11">
        <f t="shared" si="86"/>
        <v>23</v>
      </c>
      <c r="V414" t="str">
        <f t="shared" si="87"/>
        <v>SE16 3LN</v>
      </c>
      <c r="W414" t="str">
        <f t="shared" si="88"/>
        <v>MK1 1ST</v>
      </c>
      <c r="X414" s="12">
        <v>9636</v>
      </c>
      <c r="Y414" s="15">
        <f t="shared" si="78"/>
        <v>30</v>
      </c>
    </row>
    <row r="415" spans="1:25" x14ac:dyDescent="0.2">
      <c r="A415" t="s">
        <v>3</v>
      </c>
      <c r="B415" s="13">
        <v>42798</v>
      </c>
      <c r="C415" s="2" t="str">
        <f t="shared" si="79"/>
        <v>Sat</v>
      </c>
      <c r="D415" t="s">
        <v>12</v>
      </c>
      <c r="E415" t="s">
        <v>9</v>
      </c>
      <c r="F415" t="str">
        <f t="shared" si="80"/>
        <v>D</v>
      </c>
      <c r="G415">
        <f t="shared" si="81"/>
        <v>0</v>
      </c>
      <c r="H415" t="s">
        <v>32</v>
      </c>
      <c r="I415">
        <f t="shared" si="82"/>
        <v>0</v>
      </c>
      <c r="J415">
        <f t="shared" si="89"/>
        <v>7653</v>
      </c>
      <c r="K415" s="15">
        <f t="shared" si="83"/>
        <v>680</v>
      </c>
      <c r="L415" s="15">
        <f t="shared" si="84"/>
        <v>249</v>
      </c>
      <c r="M415">
        <v>17</v>
      </c>
      <c r="N415">
        <v>14</v>
      </c>
      <c r="O415">
        <v>7</v>
      </c>
      <c r="P415">
        <v>1</v>
      </c>
      <c r="Q415" s="9">
        <v>88</v>
      </c>
      <c r="R415">
        <v>11</v>
      </c>
      <c r="T415" s="11">
        <f t="shared" si="85"/>
        <v>24</v>
      </c>
      <c r="U415" s="11">
        <f t="shared" si="86"/>
        <v>24</v>
      </c>
      <c r="V415" t="str">
        <f t="shared" si="87"/>
        <v>NN5 5QA</v>
      </c>
      <c r="W415" t="str">
        <f t="shared" si="88"/>
        <v>SE7 8BL</v>
      </c>
      <c r="X415" s="12">
        <v>7118</v>
      </c>
      <c r="Y415" s="15">
        <f t="shared" si="78"/>
        <v>24</v>
      </c>
    </row>
    <row r="416" spans="1:25" x14ac:dyDescent="0.2">
      <c r="A416" t="s">
        <v>3</v>
      </c>
      <c r="B416" s="13">
        <v>42798</v>
      </c>
      <c r="C416" s="2" t="str">
        <f t="shared" si="79"/>
        <v>Sat</v>
      </c>
      <c r="D416" t="s">
        <v>14</v>
      </c>
      <c r="E416" t="s">
        <v>19</v>
      </c>
      <c r="F416" t="str">
        <f t="shared" si="80"/>
        <v>D</v>
      </c>
      <c r="G416">
        <f t="shared" si="81"/>
        <v>0</v>
      </c>
      <c r="H416" t="s">
        <v>32</v>
      </c>
      <c r="I416">
        <f t="shared" si="82"/>
        <v>0</v>
      </c>
      <c r="J416">
        <f t="shared" si="89"/>
        <v>12500</v>
      </c>
      <c r="K416" s="15">
        <f t="shared" si="83"/>
        <v>1159</v>
      </c>
      <c r="L416" s="15">
        <f t="shared" si="84"/>
        <v>290</v>
      </c>
      <c r="M416">
        <v>11</v>
      </c>
      <c r="N416">
        <v>13</v>
      </c>
      <c r="O416">
        <v>12</v>
      </c>
      <c r="P416">
        <v>5</v>
      </c>
      <c r="Q416" s="9">
        <v>74</v>
      </c>
      <c r="R416">
        <v>10</v>
      </c>
      <c r="T416" s="11">
        <f t="shared" si="85"/>
        <v>20</v>
      </c>
      <c r="U416" s="11">
        <f t="shared" si="86"/>
        <v>21</v>
      </c>
      <c r="V416" t="str">
        <f t="shared" si="87"/>
        <v>OX4 4XP</v>
      </c>
      <c r="W416" t="str">
        <f t="shared" si="88"/>
        <v>BS7 0BF</v>
      </c>
      <c r="X416" s="12">
        <v>9862</v>
      </c>
      <c r="Y416" s="15">
        <f t="shared" si="78"/>
        <v>24</v>
      </c>
    </row>
    <row r="417" spans="1:25" x14ac:dyDescent="0.2">
      <c r="A417" t="s">
        <v>3</v>
      </c>
      <c r="B417" s="13">
        <v>42798</v>
      </c>
      <c r="C417" s="2" t="str">
        <f t="shared" si="79"/>
        <v>Sat</v>
      </c>
      <c r="D417" t="s">
        <v>16</v>
      </c>
      <c r="E417" t="s">
        <v>5</v>
      </c>
      <c r="F417" t="str">
        <f t="shared" si="80"/>
        <v>D</v>
      </c>
      <c r="G417">
        <f t="shared" si="81"/>
        <v>0</v>
      </c>
      <c r="H417" t="s">
        <v>32</v>
      </c>
      <c r="I417">
        <f t="shared" si="82"/>
        <v>0</v>
      </c>
      <c r="J417">
        <f t="shared" si="89"/>
        <v>10249</v>
      </c>
      <c r="K417" s="15">
        <f t="shared" si="83"/>
        <v>1622</v>
      </c>
      <c r="L417" s="15">
        <f t="shared" si="84"/>
        <v>290</v>
      </c>
      <c r="M417">
        <v>8</v>
      </c>
      <c r="N417">
        <v>1</v>
      </c>
      <c r="O417">
        <v>3</v>
      </c>
      <c r="P417">
        <v>11</v>
      </c>
      <c r="Q417" s="9">
        <v>64</v>
      </c>
      <c r="R417">
        <v>9</v>
      </c>
      <c r="T417" s="11">
        <f t="shared" si="85"/>
        <v>17</v>
      </c>
      <c r="U417" s="11">
        <f t="shared" si="86"/>
        <v>22</v>
      </c>
      <c r="V417" t="str">
        <f t="shared" si="87"/>
        <v>OL11 5DR</v>
      </c>
      <c r="W417" t="str">
        <f t="shared" si="88"/>
        <v>S2 4SU</v>
      </c>
      <c r="X417" s="12">
        <v>6214</v>
      </c>
      <c r="Y417" s="15">
        <f t="shared" si="78"/>
        <v>22</v>
      </c>
    </row>
    <row r="418" spans="1:25" x14ac:dyDescent="0.2">
      <c r="A418" t="s">
        <v>3</v>
      </c>
      <c r="B418" s="13">
        <v>42798</v>
      </c>
      <c r="C418" s="2" t="str">
        <f t="shared" si="79"/>
        <v>Sat</v>
      </c>
      <c r="D418" t="s">
        <v>18</v>
      </c>
      <c r="E418" t="s">
        <v>13</v>
      </c>
      <c r="F418" t="str">
        <f t="shared" si="80"/>
        <v>D</v>
      </c>
      <c r="G418">
        <f t="shared" si="81"/>
        <v>0</v>
      </c>
      <c r="H418" t="s">
        <v>32</v>
      </c>
      <c r="I418">
        <f t="shared" si="82"/>
        <v>0</v>
      </c>
      <c r="J418">
        <f t="shared" si="89"/>
        <v>9183</v>
      </c>
      <c r="K418" s="15">
        <f t="shared" si="83"/>
        <v>210</v>
      </c>
      <c r="L418" s="15">
        <f t="shared" si="84"/>
        <v>288</v>
      </c>
      <c r="M418">
        <v>4</v>
      </c>
      <c r="N418">
        <v>3</v>
      </c>
      <c r="O418">
        <v>6</v>
      </c>
      <c r="P418">
        <v>11</v>
      </c>
      <c r="Q418" s="9">
        <v>141</v>
      </c>
      <c r="R418">
        <v>11</v>
      </c>
      <c r="T418" s="11">
        <f t="shared" si="85"/>
        <v>18</v>
      </c>
      <c r="U418" s="11">
        <f t="shared" si="86"/>
        <v>22</v>
      </c>
      <c r="V418" t="str">
        <f t="shared" si="87"/>
        <v>DN15 8TD</v>
      </c>
      <c r="W418" t="str">
        <f t="shared" si="88"/>
        <v>FY7 6TX</v>
      </c>
      <c r="X418" s="12">
        <v>5541</v>
      </c>
      <c r="Y418" s="15">
        <f t="shared" si="78"/>
        <v>23</v>
      </c>
    </row>
    <row r="419" spans="1:25" x14ac:dyDescent="0.2">
      <c r="A419" t="s">
        <v>3</v>
      </c>
      <c r="B419" s="13">
        <v>42798</v>
      </c>
      <c r="C419" s="2" t="str">
        <f t="shared" si="79"/>
        <v>Sat</v>
      </c>
      <c r="D419" t="s">
        <v>20</v>
      </c>
      <c r="E419" t="s">
        <v>25</v>
      </c>
      <c r="F419" t="str">
        <f t="shared" si="80"/>
        <v>D</v>
      </c>
      <c r="G419">
        <f t="shared" si="81"/>
        <v>0</v>
      </c>
      <c r="H419" t="s">
        <v>32</v>
      </c>
      <c r="I419">
        <f t="shared" si="82"/>
        <v>0</v>
      </c>
      <c r="J419">
        <f t="shared" si="89"/>
        <v>9875</v>
      </c>
      <c r="K419" s="15">
        <f t="shared" si="83"/>
        <v>1280</v>
      </c>
      <c r="L419" s="15">
        <f t="shared" si="84"/>
        <v>285</v>
      </c>
      <c r="M419">
        <v>16</v>
      </c>
      <c r="N419">
        <v>23</v>
      </c>
      <c r="O419">
        <v>9</v>
      </c>
      <c r="P419">
        <v>4</v>
      </c>
      <c r="Q419" s="9">
        <v>65</v>
      </c>
      <c r="R419">
        <v>9</v>
      </c>
      <c r="T419" s="11">
        <f t="shared" si="85"/>
        <v>20</v>
      </c>
      <c r="U419" s="11">
        <f t="shared" si="86"/>
        <v>20</v>
      </c>
      <c r="V419" t="str">
        <f t="shared" si="87"/>
        <v>SY2 6ST</v>
      </c>
      <c r="W419" t="str">
        <f t="shared" si="88"/>
        <v>CV6 6GE</v>
      </c>
      <c r="X419" s="12">
        <v>6205</v>
      </c>
      <c r="Y419" s="15">
        <f t="shared" si="78"/>
        <v>22</v>
      </c>
    </row>
    <row r="420" spans="1:25" x14ac:dyDescent="0.2">
      <c r="A420" t="s">
        <v>3</v>
      </c>
      <c r="B420" s="13">
        <v>42798</v>
      </c>
      <c r="C420" s="2" t="str">
        <f t="shared" si="79"/>
        <v>Sat</v>
      </c>
      <c r="D420" t="s">
        <v>22</v>
      </c>
      <c r="E420" t="s">
        <v>7</v>
      </c>
      <c r="F420" t="str">
        <f t="shared" si="80"/>
        <v>D</v>
      </c>
      <c r="G420">
        <f t="shared" si="81"/>
        <v>0</v>
      </c>
      <c r="H420" t="s">
        <v>32</v>
      </c>
      <c r="I420">
        <f t="shared" si="82"/>
        <v>0</v>
      </c>
      <c r="J420">
        <f t="shared" si="89"/>
        <v>12392</v>
      </c>
      <c r="K420" s="15">
        <f t="shared" si="83"/>
        <v>697</v>
      </c>
      <c r="L420" s="15">
        <f t="shared" si="84"/>
        <v>395</v>
      </c>
      <c r="M420">
        <v>7</v>
      </c>
      <c r="N420">
        <v>22</v>
      </c>
      <c r="O420">
        <v>7</v>
      </c>
      <c r="P420">
        <v>2</v>
      </c>
      <c r="Q420" s="9">
        <v>115</v>
      </c>
      <c r="R420">
        <v>10</v>
      </c>
      <c r="T420" s="11">
        <f t="shared" si="85"/>
        <v>25</v>
      </c>
      <c r="U420" s="11">
        <f t="shared" si="86"/>
        <v>22</v>
      </c>
      <c r="V420" t="str">
        <f t="shared" si="87"/>
        <v>SS2 6NQ</v>
      </c>
      <c r="W420" t="str">
        <f t="shared" si="88"/>
        <v>ST6 1AW</v>
      </c>
      <c r="X420" s="12">
        <v>7545</v>
      </c>
      <c r="Y420" s="15">
        <f t="shared" si="78"/>
        <v>25</v>
      </c>
    </row>
    <row r="421" spans="1:25" x14ac:dyDescent="0.2">
      <c r="A421" t="s">
        <v>3</v>
      </c>
      <c r="B421" s="13">
        <v>42798</v>
      </c>
      <c r="C421" s="2" t="str">
        <f t="shared" si="79"/>
        <v>Sat</v>
      </c>
      <c r="D421" t="s">
        <v>24</v>
      </c>
      <c r="E421" t="s">
        <v>15</v>
      </c>
      <c r="F421" t="str">
        <f t="shared" si="80"/>
        <v>D</v>
      </c>
      <c r="G421">
        <f t="shared" si="81"/>
        <v>0</v>
      </c>
      <c r="H421" t="s">
        <v>32</v>
      </c>
      <c r="I421">
        <f t="shared" si="82"/>
        <v>0</v>
      </c>
      <c r="J421">
        <f t="shared" si="89"/>
        <v>15728</v>
      </c>
      <c r="K421" s="15">
        <f t="shared" si="83"/>
        <v>583</v>
      </c>
      <c r="L421" s="15">
        <f t="shared" si="84"/>
        <v>345</v>
      </c>
      <c r="M421">
        <v>21</v>
      </c>
      <c r="N421">
        <v>24</v>
      </c>
      <c r="O421">
        <v>7</v>
      </c>
      <c r="P421">
        <v>2</v>
      </c>
      <c r="Q421" s="9">
        <v>158</v>
      </c>
      <c r="R421">
        <v>10</v>
      </c>
      <c r="S421" t="s">
        <v>68</v>
      </c>
      <c r="T421" s="11">
        <f t="shared" si="85"/>
        <v>19</v>
      </c>
      <c r="U421" s="11">
        <f t="shared" si="86"/>
        <v>19</v>
      </c>
      <c r="V421" t="str">
        <f t="shared" si="87"/>
        <v>SN1 2ED</v>
      </c>
      <c r="W421" t="str">
        <f t="shared" si="88"/>
        <v>S41 8NZ</v>
      </c>
      <c r="X421" s="12">
        <v>6691</v>
      </c>
      <c r="Y421" s="15">
        <f t="shared" si="78"/>
        <v>25</v>
      </c>
    </row>
    <row r="422" spans="1:25" x14ac:dyDescent="0.2">
      <c r="A422" t="s">
        <v>3</v>
      </c>
      <c r="B422" s="13">
        <v>42798</v>
      </c>
      <c r="C422" s="2" t="str">
        <f t="shared" si="79"/>
        <v>Sat</v>
      </c>
      <c r="D422" t="s">
        <v>26</v>
      </c>
      <c r="E422" t="s">
        <v>11</v>
      </c>
      <c r="F422" t="str">
        <f t="shared" si="80"/>
        <v>D</v>
      </c>
      <c r="G422">
        <f t="shared" si="81"/>
        <v>0</v>
      </c>
      <c r="H422" t="s">
        <v>32</v>
      </c>
      <c r="I422">
        <f t="shared" si="82"/>
        <v>0</v>
      </c>
      <c r="J422">
        <f t="shared" si="89"/>
        <v>11300</v>
      </c>
      <c r="K422" s="15">
        <f t="shared" si="83"/>
        <v>729</v>
      </c>
      <c r="L422" s="15">
        <f t="shared" si="84"/>
        <v>253</v>
      </c>
      <c r="M422">
        <v>12</v>
      </c>
      <c r="N422">
        <v>20</v>
      </c>
      <c r="O422">
        <v>7</v>
      </c>
      <c r="P422">
        <v>11</v>
      </c>
      <c r="Q422" s="9">
        <v>87</v>
      </c>
      <c r="R422">
        <v>10</v>
      </c>
      <c r="T422" s="11">
        <f t="shared" si="85"/>
        <v>20</v>
      </c>
      <c r="U422" s="11">
        <f t="shared" si="86"/>
        <v>20</v>
      </c>
      <c r="V422" t="str">
        <f t="shared" si="87"/>
        <v>WS1 4SA</v>
      </c>
      <c r="W422" t="str">
        <f t="shared" si="88"/>
        <v>OL1 2PA</v>
      </c>
      <c r="X422" s="12">
        <v>6003</v>
      </c>
      <c r="Y422" s="15">
        <f t="shared" si="78"/>
        <v>25.5</v>
      </c>
    </row>
    <row r="423" spans="1:25" x14ac:dyDescent="0.2">
      <c r="A423" t="s">
        <v>3</v>
      </c>
      <c r="B423" s="13">
        <v>42801</v>
      </c>
      <c r="C423" s="2" t="str">
        <f t="shared" si="79"/>
        <v>Tue</v>
      </c>
      <c r="D423" t="s">
        <v>9</v>
      </c>
      <c r="E423" t="s">
        <v>18</v>
      </c>
      <c r="F423" t="str">
        <f t="shared" si="80"/>
        <v>E</v>
      </c>
      <c r="G423">
        <f t="shared" si="81"/>
        <v>1</v>
      </c>
      <c r="H423" t="s">
        <v>32</v>
      </c>
      <c r="I423">
        <f t="shared" si="82"/>
        <v>0</v>
      </c>
      <c r="J423">
        <f t="shared" si="89"/>
        <v>26875</v>
      </c>
      <c r="K423" s="15">
        <f t="shared" si="83"/>
        <v>508</v>
      </c>
      <c r="L423" s="15">
        <f t="shared" si="84"/>
        <v>175</v>
      </c>
      <c r="M423">
        <v>11</v>
      </c>
      <c r="N423">
        <v>1</v>
      </c>
      <c r="O423">
        <v>1</v>
      </c>
      <c r="P423">
        <v>3</v>
      </c>
      <c r="Q423" s="9">
        <v>133</v>
      </c>
      <c r="R423">
        <v>7</v>
      </c>
      <c r="T423" s="11">
        <f t="shared" si="85"/>
        <v>20</v>
      </c>
      <c r="U423" s="11">
        <f t="shared" si="86"/>
        <v>20</v>
      </c>
      <c r="V423" t="str">
        <f t="shared" si="87"/>
        <v>SE7 8BL</v>
      </c>
      <c r="W423" t="str">
        <f t="shared" si="88"/>
        <v>DN15 8TD</v>
      </c>
      <c r="X423" s="12">
        <v>9088</v>
      </c>
      <c r="Y423" s="15">
        <f t="shared" si="78"/>
        <v>35</v>
      </c>
    </row>
    <row r="424" spans="1:25" x14ac:dyDescent="0.2">
      <c r="A424" t="s">
        <v>3</v>
      </c>
      <c r="B424" s="13">
        <v>42801</v>
      </c>
      <c r="C424" s="2" t="str">
        <f t="shared" si="79"/>
        <v>Tue</v>
      </c>
      <c r="D424" t="s">
        <v>14</v>
      </c>
      <c r="E424" t="s">
        <v>5</v>
      </c>
      <c r="F424" t="str">
        <f t="shared" si="80"/>
        <v>E</v>
      </c>
      <c r="G424">
        <f t="shared" si="81"/>
        <v>1</v>
      </c>
      <c r="H424" t="s">
        <v>32</v>
      </c>
      <c r="I424">
        <f t="shared" si="82"/>
        <v>0</v>
      </c>
      <c r="J424">
        <f t="shared" si="89"/>
        <v>12500</v>
      </c>
      <c r="K424" s="15">
        <f t="shared" si="83"/>
        <v>1622</v>
      </c>
      <c r="L424" s="15">
        <f t="shared" si="84"/>
        <v>290</v>
      </c>
      <c r="M424">
        <v>14</v>
      </c>
      <c r="N424">
        <v>3</v>
      </c>
      <c r="O424">
        <v>9</v>
      </c>
      <c r="P424">
        <v>9</v>
      </c>
      <c r="Q424" s="9">
        <v>140</v>
      </c>
      <c r="R424">
        <v>8</v>
      </c>
      <c r="T424" s="11">
        <f t="shared" si="85"/>
        <v>20</v>
      </c>
      <c r="U424" s="11">
        <f t="shared" si="86"/>
        <v>21</v>
      </c>
      <c r="V424" t="str">
        <f t="shared" si="87"/>
        <v>OX4 4XP</v>
      </c>
      <c r="W424" t="str">
        <f t="shared" si="88"/>
        <v>S2 4SU</v>
      </c>
      <c r="X424" s="12">
        <v>8965</v>
      </c>
      <c r="Y424" s="15">
        <f t="shared" si="78"/>
        <v>24</v>
      </c>
    </row>
    <row r="425" spans="1:25" x14ac:dyDescent="0.2">
      <c r="A425" t="s">
        <v>3</v>
      </c>
      <c r="B425" s="13">
        <v>42801</v>
      </c>
      <c r="C425" s="2" t="str">
        <f t="shared" si="79"/>
        <v>Tue</v>
      </c>
      <c r="D425" t="s">
        <v>26</v>
      </c>
      <c r="E425" t="s">
        <v>15</v>
      </c>
      <c r="F425" t="str">
        <f t="shared" si="80"/>
        <v>E</v>
      </c>
      <c r="G425">
        <f t="shared" si="81"/>
        <v>1</v>
      </c>
      <c r="H425" t="s">
        <v>32</v>
      </c>
      <c r="I425">
        <f t="shared" si="82"/>
        <v>0</v>
      </c>
      <c r="J425">
        <f t="shared" si="89"/>
        <v>11300</v>
      </c>
      <c r="K425" s="15">
        <f t="shared" si="83"/>
        <v>583</v>
      </c>
      <c r="L425" s="15">
        <f t="shared" si="84"/>
        <v>253</v>
      </c>
      <c r="M425">
        <v>13</v>
      </c>
      <c r="N425">
        <v>24</v>
      </c>
      <c r="O425">
        <v>7</v>
      </c>
      <c r="P425">
        <v>5</v>
      </c>
      <c r="Q425" s="9">
        <v>61</v>
      </c>
      <c r="R425">
        <v>8</v>
      </c>
      <c r="T425" s="11">
        <f t="shared" si="85"/>
        <v>20</v>
      </c>
      <c r="U425" s="11">
        <f t="shared" si="86"/>
        <v>20</v>
      </c>
      <c r="V425" t="str">
        <f t="shared" si="87"/>
        <v>WS1 4SA</v>
      </c>
      <c r="W425" t="str">
        <f t="shared" si="88"/>
        <v>S41 8NZ</v>
      </c>
      <c r="X425" s="12">
        <v>3963</v>
      </c>
      <c r="Y425" s="15">
        <f t="shared" si="78"/>
        <v>25.5</v>
      </c>
    </row>
    <row r="426" spans="1:25" x14ac:dyDescent="0.2">
      <c r="A426" t="s">
        <v>3</v>
      </c>
      <c r="B426" s="13">
        <v>42805</v>
      </c>
      <c r="C426" s="2" t="str">
        <f t="shared" si="79"/>
        <v>Sat</v>
      </c>
      <c r="D426" t="s">
        <v>27</v>
      </c>
      <c r="E426" t="s">
        <v>12</v>
      </c>
      <c r="F426" t="str">
        <f t="shared" si="80"/>
        <v>D</v>
      </c>
      <c r="G426">
        <f t="shared" si="81"/>
        <v>0</v>
      </c>
      <c r="H426" t="s">
        <v>32</v>
      </c>
      <c r="I426">
        <f t="shared" si="82"/>
        <v>0</v>
      </c>
      <c r="J426">
        <f t="shared" si="89"/>
        <v>4850</v>
      </c>
      <c r="K426" s="15">
        <f t="shared" si="83"/>
        <v>843</v>
      </c>
      <c r="L426" s="15">
        <f t="shared" si="84"/>
        <v>260</v>
      </c>
      <c r="M426">
        <v>11</v>
      </c>
      <c r="N426">
        <v>16</v>
      </c>
      <c r="O426">
        <v>8</v>
      </c>
      <c r="P426">
        <v>7</v>
      </c>
      <c r="Q426" s="9">
        <v>74</v>
      </c>
      <c r="R426">
        <v>16</v>
      </c>
      <c r="T426" s="11">
        <f t="shared" si="85"/>
        <v>17</v>
      </c>
      <c r="U426" s="11">
        <f t="shared" si="86"/>
        <v>17</v>
      </c>
      <c r="V426" t="str">
        <f t="shared" si="87"/>
        <v>KT1 3PB</v>
      </c>
      <c r="W426" t="str">
        <f t="shared" si="88"/>
        <v>NN5 5QA</v>
      </c>
      <c r="X426" s="12">
        <v>4512</v>
      </c>
      <c r="Y426" s="15">
        <f t="shared" si="78"/>
        <v>29</v>
      </c>
    </row>
    <row r="427" spans="1:25" x14ac:dyDescent="0.2">
      <c r="A427" t="s">
        <v>3</v>
      </c>
      <c r="B427" s="13">
        <v>42805</v>
      </c>
      <c r="C427" s="2" t="str">
        <f t="shared" si="79"/>
        <v>Sat</v>
      </c>
      <c r="D427" t="s">
        <v>19</v>
      </c>
      <c r="E427" t="s">
        <v>22</v>
      </c>
      <c r="F427" t="str">
        <f t="shared" si="80"/>
        <v>D</v>
      </c>
      <c r="G427">
        <f t="shared" si="81"/>
        <v>0</v>
      </c>
      <c r="H427" t="s">
        <v>32</v>
      </c>
      <c r="I427">
        <f t="shared" si="82"/>
        <v>0</v>
      </c>
      <c r="J427">
        <f t="shared" si="89"/>
        <v>12000</v>
      </c>
      <c r="K427" s="15">
        <f t="shared" si="83"/>
        <v>635</v>
      </c>
      <c r="L427" s="15">
        <f t="shared" si="84"/>
        <v>260</v>
      </c>
      <c r="M427">
        <v>10</v>
      </c>
      <c r="N427">
        <v>7</v>
      </c>
      <c r="O427">
        <v>7</v>
      </c>
      <c r="P427">
        <v>8</v>
      </c>
      <c r="Q427" s="9">
        <v>97</v>
      </c>
      <c r="R427">
        <v>12</v>
      </c>
      <c r="T427" s="11">
        <f t="shared" si="85"/>
        <v>18</v>
      </c>
      <c r="U427" s="11">
        <f t="shared" si="86"/>
        <v>16</v>
      </c>
      <c r="V427" t="str">
        <f t="shared" si="87"/>
        <v>BS7 0BF</v>
      </c>
      <c r="W427" t="str">
        <f t="shared" si="88"/>
        <v>SS2 6NQ</v>
      </c>
      <c r="X427" s="12">
        <v>9274</v>
      </c>
      <c r="Y427" s="15">
        <f t="shared" si="78"/>
        <v>26</v>
      </c>
    </row>
    <row r="428" spans="1:25" x14ac:dyDescent="0.2">
      <c r="A428" t="s">
        <v>3</v>
      </c>
      <c r="B428" s="13">
        <v>42805</v>
      </c>
      <c r="C428" s="2" t="str">
        <f t="shared" si="79"/>
        <v>Sat</v>
      </c>
      <c r="D428" t="s">
        <v>9</v>
      </c>
      <c r="E428" t="s">
        <v>26</v>
      </c>
      <c r="F428" t="str">
        <f t="shared" si="80"/>
        <v>D</v>
      </c>
      <c r="G428">
        <f t="shared" si="81"/>
        <v>0</v>
      </c>
      <c r="H428" t="s">
        <v>32</v>
      </c>
      <c r="I428">
        <f t="shared" si="82"/>
        <v>0</v>
      </c>
      <c r="J428">
        <f t="shared" si="89"/>
        <v>26875</v>
      </c>
      <c r="K428" s="15">
        <f t="shared" si="83"/>
        <v>792</v>
      </c>
      <c r="L428" s="15">
        <f t="shared" si="84"/>
        <v>175</v>
      </c>
      <c r="M428">
        <v>14</v>
      </c>
      <c r="N428">
        <v>9</v>
      </c>
      <c r="O428">
        <v>3</v>
      </c>
      <c r="P428">
        <v>10</v>
      </c>
      <c r="Q428" s="9">
        <v>66</v>
      </c>
      <c r="R428">
        <v>9</v>
      </c>
      <c r="T428" s="11">
        <f t="shared" si="85"/>
        <v>20</v>
      </c>
      <c r="U428" s="11">
        <f t="shared" si="86"/>
        <v>20</v>
      </c>
      <c r="V428" t="str">
        <f t="shared" si="87"/>
        <v>SE7 8BL</v>
      </c>
      <c r="W428" t="str">
        <f t="shared" si="88"/>
        <v>WS1 4SA</v>
      </c>
      <c r="X428" s="12">
        <v>9900</v>
      </c>
      <c r="Y428" s="15">
        <f t="shared" si="78"/>
        <v>35</v>
      </c>
    </row>
    <row r="429" spans="1:25" x14ac:dyDescent="0.2">
      <c r="A429" t="s">
        <v>3</v>
      </c>
      <c r="B429" s="13">
        <v>42805</v>
      </c>
      <c r="C429" s="2" t="str">
        <f t="shared" si="79"/>
        <v>Sat</v>
      </c>
      <c r="D429" t="s">
        <v>15</v>
      </c>
      <c r="E429" t="s">
        <v>20</v>
      </c>
      <c r="F429" t="str">
        <f t="shared" si="80"/>
        <v>D</v>
      </c>
      <c r="G429">
        <f t="shared" si="81"/>
        <v>0</v>
      </c>
      <c r="H429" t="s">
        <v>32</v>
      </c>
      <c r="I429">
        <f t="shared" si="82"/>
        <v>0</v>
      </c>
      <c r="J429">
        <f t="shared" si="89"/>
        <v>10504</v>
      </c>
      <c r="K429" s="15">
        <f t="shared" si="83"/>
        <v>438</v>
      </c>
      <c r="L429" s="15">
        <f t="shared" si="84"/>
        <v>345</v>
      </c>
      <c r="M429">
        <v>23</v>
      </c>
      <c r="N429">
        <v>18</v>
      </c>
      <c r="O429">
        <v>4</v>
      </c>
      <c r="P429">
        <v>4</v>
      </c>
      <c r="Q429" s="9">
        <v>109</v>
      </c>
      <c r="R429">
        <v>12</v>
      </c>
      <c r="T429" s="11">
        <f t="shared" si="85"/>
        <v>22</v>
      </c>
      <c r="U429" s="11">
        <f t="shared" si="86"/>
        <v>20</v>
      </c>
      <c r="V429" t="str">
        <f t="shared" si="87"/>
        <v>S41 8NZ</v>
      </c>
      <c r="W429" t="str">
        <f t="shared" si="88"/>
        <v>SY2 6ST</v>
      </c>
      <c r="X429" s="12">
        <v>6317</v>
      </c>
      <c r="Y429" s="15">
        <f t="shared" si="78"/>
        <v>26</v>
      </c>
    </row>
    <row r="430" spans="1:25" x14ac:dyDescent="0.2">
      <c r="A430" t="s">
        <v>3</v>
      </c>
      <c r="B430" s="13">
        <v>42805</v>
      </c>
      <c r="C430" s="2" t="str">
        <f t="shared" si="79"/>
        <v>Sat</v>
      </c>
      <c r="D430" t="s">
        <v>25</v>
      </c>
      <c r="E430" t="s">
        <v>6</v>
      </c>
      <c r="F430" t="str">
        <f t="shared" si="80"/>
        <v>D</v>
      </c>
      <c r="G430">
        <f t="shared" si="81"/>
        <v>0</v>
      </c>
      <c r="H430" t="s">
        <v>32</v>
      </c>
      <c r="I430">
        <f t="shared" si="82"/>
        <v>0</v>
      </c>
      <c r="J430">
        <f t="shared" si="89"/>
        <v>32609</v>
      </c>
      <c r="K430" s="15">
        <f t="shared" si="83"/>
        <v>1437</v>
      </c>
      <c r="L430" s="15">
        <f t="shared" si="84"/>
        <v>299</v>
      </c>
      <c r="M430">
        <v>24</v>
      </c>
      <c r="N430">
        <v>5</v>
      </c>
      <c r="O430">
        <v>5</v>
      </c>
      <c r="P430">
        <v>11</v>
      </c>
      <c r="Q430" s="9">
        <v>126</v>
      </c>
      <c r="R430">
        <v>13</v>
      </c>
      <c r="T430" s="11">
        <f t="shared" si="85"/>
        <v>22</v>
      </c>
      <c r="U430" s="11">
        <f t="shared" si="86"/>
        <v>22</v>
      </c>
      <c r="V430" t="str">
        <f t="shared" si="87"/>
        <v>CV6 6GE</v>
      </c>
      <c r="W430" t="str">
        <f t="shared" si="88"/>
        <v>BD8 7DY</v>
      </c>
      <c r="X430" s="12">
        <v>9150</v>
      </c>
      <c r="Y430" s="15">
        <f t="shared" si="78"/>
        <v>26</v>
      </c>
    </row>
    <row r="431" spans="1:25" x14ac:dyDescent="0.2">
      <c r="A431" t="s">
        <v>3</v>
      </c>
      <c r="B431" s="13">
        <v>42805</v>
      </c>
      <c r="C431" s="2" t="str">
        <f t="shared" si="79"/>
        <v>Sat</v>
      </c>
      <c r="D431" t="s">
        <v>13</v>
      </c>
      <c r="E431" t="s">
        <v>4</v>
      </c>
      <c r="F431" t="str">
        <f t="shared" si="80"/>
        <v>D</v>
      </c>
      <c r="G431">
        <f t="shared" si="81"/>
        <v>0</v>
      </c>
      <c r="H431" t="s">
        <v>32</v>
      </c>
      <c r="I431">
        <f t="shared" si="82"/>
        <v>0</v>
      </c>
      <c r="J431">
        <f t="shared" si="89"/>
        <v>5327</v>
      </c>
      <c r="K431" s="15">
        <f t="shared" si="83"/>
        <v>912</v>
      </c>
      <c r="L431" s="15">
        <f t="shared" si="84"/>
        <v>210</v>
      </c>
      <c r="M431">
        <v>2</v>
      </c>
      <c r="N431">
        <v>3</v>
      </c>
      <c r="O431">
        <v>13</v>
      </c>
      <c r="P431">
        <v>6</v>
      </c>
      <c r="Q431" s="9">
        <v>45</v>
      </c>
      <c r="R431">
        <v>12</v>
      </c>
      <c r="T431" s="11">
        <f t="shared" si="85"/>
        <v>21.5</v>
      </c>
      <c r="U431" s="11">
        <f t="shared" si="86"/>
        <v>21.5</v>
      </c>
      <c r="V431" t="str">
        <f t="shared" si="87"/>
        <v>FY7 6TX</v>
      </c>
      <c r="W431" t="str">
        <f t="shared" si="88"/>
        <v>BL6 6JW</v>
      </c>
      <c r="X431" s="12">
        <v>5123</v>
      </c>
      <c r="Y431" s="15">
        <f t="shared" si="78"/>
        <v>23.5</v>
      </c>
    </row>
    <row r="432" spans="1:25" x14ac:dyDescent="0.2">
      <c r="A432" t="s">
        <v>3</v>
      </c>
      <c r="B432" s="13">
        <v>42805</v>
      </c>
      <c r="C432" s="2" t="str">
        <f t="shared" si="79"/>
        <v>Sat</v>
      </c>
      <c r="D432" t="s">
        <v>23</v>
      </c>
      <c r="E432" t="s">
        <v>18</v>
      </c>
      <c r="F432" t="str">
        <f t="shared" si="80"/>
        <v>D</v>
      </c>
      <c r="G432">
        <f t="shared" si="81"/>
        <v>0</v>
      </c>
      <c r="H432" t="s">
        <v>32</v>
      </c>
      <c r="I432">
        <f t="shared" si="82"/>
        <v>0</v>
      </c>
      <c r="J432">
        <f t="shared" si="89"/>
        <v>11582</v>
      </c>
      <c r="K432" s="15">
        <f t="shared" si="83"/>
        <v>508</v>
      </c>
      <c r="L432" s="15">
        <f t="shared" si="84"/>
        <v>285</v>
      </c>
      <c r="M432">
        <v>17</v>
      </c>
      <c r="N432">
        <v>4</v>
      </c>
      <c r="O432">
        <v>7</v>
      </c>
      <c r="P432">
        <v>2</v>
      </c>
      <c r="Q432" s="9">
        <v>198</v>
      </c>
      <c r="R432">
        <v>13</v>
      </c>
      <c r="T432" s="11">
        <f t="shared" si="85"/>
        <v>12</v>
      </c>
      <c r="U432" s="11">
        <f t="shared" si="86"/>
        <v>10</v>
      </c>
      <c r="V432" t="str">
        <f t="shared" si="87"/>
        <v>ME7 4DD</v>
      </c>
      <c r="W432" t="str">
        <f t="shared" si="88"/>
        <v>DN15 8TD</v>
      </c>
      <c r="X432" s="12">
        <v>6851</v>
      </c>
      <c r="Y432" s="15">
        <f t="shared" si="78"/>
        <v>28</v>
      </c>
    </row>
    <row r="433" spans="1:25" x14ac:dyDescent="0.2">
      <c r="A433" t="s">
        <v>3</v>
      </c>
      <c r="B433" s="13">
        <v>42805</v>
      </c>
      <c r="C433" s="2" t="str">
        <f t="shared" si="79"/>
        <v>Sat</v>
      </c>
      <c r="D433" t="s">
        <v>21</v>
      </c>
      <c r="E433" t="s">
        <v>16</v>
      </c>
      <c r="F433" t="str">
        <f t="shared" si="80"/>
        <v>D</v>
      </c>
      <c r="G433">
        <f t="shared" si="81"/>
        <v>0</v>
      </c>
      <c r="H433" t="s">
        <v>32</v>
      </c>
      <c r="I433">
        <f t="shared" si="82"/>
        <v>0</v>
      </c>
      <c r="J433">
        <f t="shared" si="89"/>
        <v>30500</v>
      </c>
      <c r="K433" s="15">
        <f t="shared" si="83"/>
        <v>497</v>
      </c>
      <c r="L433" s="15">
        <f t="shared" si="84"/>
        <v>312</v>
      </c>
      <c r="M433">
        <v>15</v>
      </c>
      <c r="N433">
        <v>8</v>
      </c>
      <c r="O433">
        <v>8</v>
      </c>
      <c r="P433">
        <v>3</v>
      </c>
      <c r="Q433" s="9">
        <v>168</v>
      </c>
      <c r="R433">
        <v>10</v>
      </c>
      <c r="T433" s="11">
        <f t="shared" si="85"/>
        <v>22</v>
      </c>
      <c r="U433" s="11">
        <f t="shared" si="86"/>
        <v>22</v>
      </c>
      <c r="V433" t="str">
        <f t="shared" si="87"/>
        <v>MK1 1ST</v>
      </c>
      <c r="W433" t="str">
        <f t="shared" si="88"/>
        <v>OL11 5DR</v>
      </c>
      <c r="X433" s="12">
        <v>10569</v>
      </c>
      <c r="Y433" s="15">
        <f t="shared" si="78"/>
        <v>27</v>
      </c>
    </row>
    <row r="434" spans="1:25" x14ac:dyDescent="0.2">
      <c r="A434" t="s">
        <v>3</v>
      </c>
      <c r="B434" s="13">
        <v>42805</v>
      </c>
      <c r="C434" s="2" t="str">
        <f t="shared" si="79"/>
        <v>Sat</v>
      </c>
      <c r="D434" t="s">
        <v>11</v>
      </c>
      <c r="E434" t="s">
        <v>8</v>
      </c>
      <c r="F434" t="str">
        <f t="shared" si="80"/>
        <v>D</v>
      </c>
      <c r="G434">
        <f t="shared" si="81"/>
        <v>0</v>
      </c>
      <c r="H434" t="s">
        <v>32</v>
      </c>
      <c r="I434">
        <f t="shared" si="82"/>
        <v>0</v>
      </c>
      <c r="J434">
        <f t="shared" si="89"/>
        <v>13559</v>
      </c>
      <c r="K434" s="15">
        <f t="shared" si="83"/>
        <v>608</v>
      </c>
      <c r="L434" s="15">
        <f t="shared" si="84"/>
        <v>300</v>
      </c>
      <c r="M434">
        <v>20</v>
      </c>
      <c r="N434">
        <v>19</v>
      </c>
      <c r="O434">
        <v>8</v>
      </c>
      <c r="P434">
        <v>10</v>
      </c>
      <c r="Q434" s="9">
        <v>167</v>
      </c>
      <c r="R434">
        <v>13</v>
      </c>
      <c r="T434" s="11">
        <f t="shared" si="85"/>
        <v>22</v>
      </c>
      <c r="U434" s="11">
        <f t="shared" si="86"/>
        <v>24</v>
      </c>
      <c r="V434" t="str">
        <f t="shared" si="87"/>
        <v>OL1 2PA</v>
      </c>
      <c r="W434" t="str">
        <f t="shared" si="88"/>
        <v>BL9 9HR</v>
      </c>
      <c r="X434" s="12">
        <v>5776</v>
      </c>
      <c r="Y434" s="15">
        <f t="shared" si="78"/>
        <v>24</v>
      </c>
    </row>
    <row r="435" spans="1:25" x14ac:dyDescent="0.2">
      <c r="A435" t="s">
        <v>3</v>
      </c>
      <c r="B435" s="13">
        <v>42805</v>
      </c>
      <c r="C435" s="2" t="str">
        <f t="shared" si="79"/>
        <v>Sat</v>
      </c>
      <c r="D435" t="s">
        <v>17</v>
      </c>
      <c r="E435" t="s">
        <v>14</v>
      </c>
      <c r="F435" t="str">
        <f t="shared" si="80"/>
        <v>D</v>
      </c>
      <c r="G435">
        <f t="shared" si="81"/>
        <v>0</v>
      </c>
      <c r="H435" t="s">
        <v>32</v>
      </c>
      <c r="I435">
        <f t="shared" si="82"/>
        <v>0</v>
      </c>
      <c r="J435">
        <f t="shared" si="89"/>
        <v>15314</v>
      </c>
      <c r="K435" s="15">
        <f t="shared" si="83"/>
        <v>1000</v>
      </c>
      <c r="L435" s="15">
        <f t="shared" si="84"/>
        <v>295</v>
      </c>
      <c r="M435">
        <v>13</v>
      </c>
      <c r="N435">
        <v>12</v>
      </c>
      <c r="O435">
        <v>3</v>
      </c>
      <c r="P435">
        <v>6</v>
      </c>
      <c r="Q435" s="9">
        <v>86</v>
      </c>
      <c r="R435">
        <v>11</v>
      </c>
      <c r="T435" s="11">
        <f t="shared" si="85"/>
        <v>21</v>
      </c>
      <c r="U435" s="11">
        <f t="shared" si="86"/>
        <v>20</v>
      </c>
      <c r="V435" t="str">
        <f t="shared" si="87"/>
        <v>PE2 8AL</v>
      </c>
      <c r="W435" t="str">
        <f t="shared" si="88"/>
        <v>OX4 4XP</v>
      </c>
      <c r="X435" s="12">
        <v>5469</v>
      </c>
      <c r="Y435" s="15">
        <f t="shared" si="78"/>
        <v>26</v>
      </c>
    </row>
    <row r="436" spans="1:25" x14ac:dyDescent="0.2">
      <c r="A436" t="s">
        <v>3</v>
      </c>
      <c r="B436" s="13">
        <v>42805</v>
      </c>
      <c r="C436" s="2" t="str">
        <f t="shared" si="79"/>
        <v>Sat</v>
      </c>
      <c r="D436" t="s">
        <v>7</v>
      </c>
      <c r="E436" t="s">
        <v>24</v>
      </c>
      <c r="F436" t="str">
        <f t="shared" si="80"/>
        <v>D</v>
      </c>
      <c r="G436">
        <f t="shared" si="81"/>
        <v>0</v>
      </c>
      <c r="H436" t="s">
        <v>32</v>
      </c>
      <c r="I436">
        <f t="shared" si="82"/>
        <v>0</v>
      </c>
      <c r="J436">
        <f t="shared" si="89"/>
        <v>18947</v>
      </c>
      <c r="K436" s="15">
        <f t="shared" si="83"/>
        <v>503</v>
      </c>
      <c r="L436" s="15">
        <f t="shared" si="84"/>
        <v>345</v>
      </c>
      <c r="M436">
        <v>22</v>
      </c>
      <c r="N436">
        <v>21</v>
      </c>
      <c r="O436">
        <v>5</v>
      </c>
      <c r="P436">
        <v>7</v>
      </c>
      <c r="Q436" s="9">
        <v>127</v>
      </c>
      <c r="R436">
        <v>13</v>
      </c>
      <c r="T436" s="11">
        <f t="shared" si="85"/>
        <v>22</v>
      </c>
      <c r="U436" s="11">
        <f t="shared" si="86"/>
        <v>22</v>
      </c>
      <c r="V436" t="str">
        <f t="shared" si="87"/>
        <v>ST6 1AW</v>
      </c>
      <c r="W436" t="str">
        <f t="shared" si="88"/>
        <v>SN1 2ED</v>
      </c>
      <c r="X436" s="12">
        <v>4510</v>
      </c>
      <c r="Y436" s="15">
        <f t="shared" si="78"/>
        <v>23</v>
      </c>
    </row>
    <row r="437" spans="1:25" x14ac:dyDescent="0.2">
      <c r="A437" t="s">
        <v>3</v>
      </c>
      <c r="B437" s="13">
        <v>42808</v>
      </c>
      <c r="C437" s="2" t="str">
        <f t="shared" si="79"/>
        <v>Tue</v>
      </c>
      <c r="D437" t="s">
        <v>27</v>
      </c>
      <c r="E437" t="s">
        <v>21</v>
      </c>
      <c r="F437" t="str">
        <f t="shared" si="80"/>
        <v>E</v>
      </c>
      <c r="G437">
        <f t="shared" si="81"/>
        <v>1</v>
      </c>
      <c r="H437" t="s">
        <v>32</v>
      </c>
      <c r="I437">
        <f t="shared" si="82"/>
        <v>0</v>
      </c>
      <c r="J437">
        <f t="shared" si="89"/>
        <v>4850</v>
      </c>
      <c r="K437" s="15">
        <f t="shared" si="83"/>
        <v>596</v>
      </c>
      <c r="L437" s="15">
        <f t="shared" si="84"/>
        <v>260</v>
      </c>
      <c r="M437">
        <v>16</v>
      </c>
      <c r="N437">
        <v>12</v>
      </c>
      <c r="O437">
        <v>8</v>
      </c>
      <c r="P437">
        <v>5</v>
      </c>
      <c r="Q437" s="9">
        <v>62</v>
      </c>
      <c r="R437">
        <v>12</v>
      </c>
      <c r="T437" s="11">
        <f t="shared" si="85"/>
        <v>17</v>
      </c>
      <c r="U437" s="11">
        <f t="shared" si="86"/>
        <v>17</v>
      </c>
      <c r="V437" t="str">
        <f t="shared" si="87"/>
        <v>KT1 3PB</v>
      </c>
      <c r="W437" t="str">
        <f t="shared" si="88"/>
        <v>MK1 1ST</v>
      </c>
      <c r="X437" s="12">
        <v>4112</v>
      </c>
      <c r="Y437" s="15">
        <f t="shared" si="78"/>
        <v>29</v>
      </c>
    </row>
    <row r="438" spans="1:25" x14ac:dyDescent="0.2">
      <c r="A438" t="s">
        <v>3</v>
      </c>
      <c r="B438" s="13">
        <v>42808</v>
      </c>
      <c r="C438" s="2" t="str">
        <f t="shared" si="79"/>
        <v>Tue</v>
      </c>
      <c r="D438" t="s">
        <v>8</v>
      </c>
      <c r="E438" t="s">
        <v>19</v>
      </c>
      <c r="F438" t="str">
        <f t="shared" si="80"/>
        <v>E</v>
      </c>
      <c r="G438">
        <f t="shared" si="81"/>
        <v>1</v>
      </c>
      <c r="H438" t="s">
        <v>32</v>
      </c>
      <c r="I438">
        <f t="shared" si="82"/>
        <v>0</v>
      </c>
      <c r="J438">
        <f t="shared" si="89"/>
        <v>11841</v>
      </c>
      <c r="K438" s="15">
        <f t="shared" si="83"/>
        <v>1159</v>
      </c>
      <c r="L438" s="15">
        <f t="shared" si="84"/>
        <v>275</v>
      </c>
      <c r="M438">
        <v>19</v>
      </c>
      <c r="N438">
        <v>9</v>
      </c>
      <c r="O438">
        <v>10</v>
      </c>
      <c r="P438">
        <v>9</v>
      </c>
      <c r="Q438" s="9">
        <v>110</v>
      </c>
      <c r="R438">
        <v>10</v>
      </c>
      <c r="T438" s="11">
        <f t="shared" si="85"/>
        <v>18</v>
      </c>
      <c r="U438" s="11">
        <f t="shared" si="86"/>
        <v>18</v>
      </c>
      <c r="V438" t="str">
        <f t="shared" si="87"/>
        <v>BL9 9HR</v>
      </c>
      <c r="W438" t="str">
        <f t="shared" si="88"/>
        <v>BS7 0BF</v>
      </c>
      <c r="X438" s="12">
        <v>2535</v>
      </c>
      <c r="Y438" s="15">
        <f t="shared" si="78"/>
        <v>22</v>
      </c>
    </row>
    <row r="439" spans="1:25" x14ac:dyDescent="0.2">
      <c r="A439" t="s">
        <v>3</v>
      </c>
      <c r="B439" s="13">
        <v>42808</v>
      </c>
      <c r="C439" s="2" t="str">
        <f t="shared" si="79"/>
        <v>Tue</v>
      </c>
      <c r="D439" t="s">
        <v>9</v>
      </c>
      <c r="E439" t="s">
        <v>6</v>
      </c>
      <c r="F439" t="str">
        <f t="shared" si="80"/>
        <v>E</v>
      </c>
      <c r="G439">
        <f t="shared" si="81"/>
        <v>1</v>
      </c>
      <c r="H439" t="s">
        <v>32</v>
      </c>
      <c r="I439">
        <f t="shared" si="82"/>
        <v>0</v>
      </c>
      <c r="J439">
        <f t="shared" si="89"/>
        <v>26875</v>
      </c>
      <c r="K439" s="15">
        <f t="shared" si="83"/>
        <v>1437</v>
      </c>
      <c r="L439" s="15">
        <f t="shared" si="84"/>
        <v>175</v>
      </c>
      <c r="M439">
        <v>14</v>
      </c>
      <c r="N439">
        <v>4</v>
      </c>
      <c r="O439">
        <v>4</v>
      </c>
      <c r="P439">
        <v>11</v>
      </c>
      <c r="Q439" s="9">
        <v>212</v>
      </c>
      <c r="R439">
        <v>12</v>
      </c>
      <c r="T439" s="11">
        <f t="shared" si="85"/>
        <v>20</v>
      </c>
      <c r="U439" s="11">
        <f t="shared" si="86"/>
        <v>20</v>
      </c>
      <c r="V439" t="str">
        <f t="shared" si="87"/>
        <v>SE7 8BL</v>
      </c>
      <c r="W439" t="str">
        <f t="shared" si="88"/>
        <v>BD8 7DY</v>
      </c>
      <c r="X439" s="12">
        <v>9326</v>
      </c>
      <c r="Y439" s="15">
        <f t="shared" si="78"/>
        <v>35</v>
      </c>
    </row>
    <row r="440" spans="1:25" x14ac:dyDescent="0.2">
      <c r="A440" t="s">
        <v>3</v>
      </c>
      <c r="B440" s="13">
        <v>42808</v>
      </c>
      <c r="C440" s="2" t="str">
        <f t="shared" si="79"/>
        <v>Tue</v>
      </c>
      <c r="D440" t="s">
        <v>15</v>
      </c>
      <c r="E440" t="s">
        <v>17</v>
      </c>
      <c r="F440" t="str">
        <f t="shared" si="80"/>
        <v>E</v>
      </c>
      <c r="G440">
        <f t="shared" si="81"/>
        <v>1</v>
      </c>
      <c r="H440" t="s">
        <v>32</v>
      </c>
      <c r="I440">
        <f t="shared" si="82"/>
        <v>0</v>
      </c>
      <c r="J440">
        <f t="shared" si="89"/>
        <v>10504</v>
      </c>
      <c r="K440" s="15">
        <f t="shared" si="83"/>
        <v>598</v>
      </c>
      <c r="L440" s="15">
        <f t="shared" si="84"/>
        <v>345</v>
      </c>
      <c r="M440">
        <v>23</v>
      </c>
      <c r="N440">
        <v>13</v>
      </c>
      <c r="O440">
        <v>5</v>
      </c>
      <c r="P440">
        <v>3</v>
      </c>
      <c r="Q440" s="9">
        <v>82</v>
      </c>
      <c r="R440">
        <v>11</v>
      </c>
      <c r="T440" s="11">
        <f t="shared" si="85"/>
        <v>22</v>
      </c>
      <c r="U440" s="11">
        <f t="shared" si="86"/>
        <v>20</v>
      </c>
      <c r="V440" t="str">
        <f t="shared" si="87"/>
        <v>S41 8NZ</v>
      </c>
      <c r="W440" t="str">
        <f t="shared" si="88"/>
        <v>PE2 8AL</v>
      </c>
      <c r="X440" s="12">
        <v>5048</v>
      </c>
      <c r="Y440" s="15">
        <f t="shared" si="78"/>
        <v>26</v>
      </c>
    </row>
    <row r="441" spans="1:25" x14ac:dyDescent="0.2">
      <c r="A441" t="s">
        <v>3</v>
      </c>
      <c r="B441" s="13">
        <v>42808</v>
      </c>
      <c r="C441" s="2" t="str">
        <f t="shared" si="79"/>
        <v>Tue</v>
      </c>
      <c r="D441" t="s">
        <v>25</v>
      </c>
      <c r="E441" t="s">
        <v>22</v>
      </c>
      <c r="F441" t="str">
        <f t="shared" si="80"/>
        <v>E</v>
      </c>
      <c r="G441">
        <f t="shared" si="81"/>
        <v>1</v>
      </c>
      <c r="H441" t="s">
        <v>32</v>
      </c>
      <c r="I441">
        <f t="shared" si="82"/>
        <v>0</v>
      </c>
      <c r="J441">
        <f t="shared" si="89"/>
        <v>32609</v>
      </c>
      <c r="K441" s="15">
        <f t="shared" si="83"/>
        <v>635</v>
      </c>
      <c r="L441" s="15">
        <f t="shared" si="84"/>
        <v>299</v>
      </c>
      <c r="M441">
        <v>24</v>
      </c>
      <c r="N441">
        <v>7</v>
      </c>
      <c r="O441">
        <v>4</v>
      </c>
      <c r="P441">
        <v>5</v>
      </c>
      <c r="Q441" s="9">
        <v>75</v>
      </c>
      <c r="R441">
        <v>12</v>
      </c>
      <c r="T441" s="11">
        <f t="shared" si="85"/>
        <v>22</v>
      </c>
      <c r="U441" s="11">
        <f t="shared" si="86"/>
        <v>22</v>
      </c>
      <c r="V441" t="str">
        <f t="shared" si="87"/>
        <v>CV6 6GE</v>
      </c>
      <c r="W441" t="str">
        <f t="shared" si="88"/>
        <v>SS2 6NQ</v>
      </c>
      <c r="X441" s="12">
        <v>7646</v>
      </c>
      <c r="Y441" s="15">
        <f t="shared" si="78"/>
        <v>26</v>
      </c>
    </row>
    <row r="442" spans="1:25" x14ac:dyDescent="0.2">
      <c r="A442" t="s">
        <v>3</v>
      </c>
      <c r="B442" s="13">
        <v>42808</v>
      </c>
      <c r="C442" s="2" t="str">
        <f t="shared" si="79"/>
        <v>Tue</v>
      </c>
      <c r="D442" t="s">
        <v>23</v>
      </c>
      <c r="E442" t="s">
        <v>4</v>
      </c>
      <c r="F442" t="str">
        <f t="shared" si="80"/>
        <v>E</v>
      </c>
      <c r="G442">
        <f t="shared" si="81"/>
        <v>1</v>
      </c>
      <c r="H442" t="s">
        <v>32</v>
      </c>
      <c r="I442">
        <f t="shared" si="82"/>
        <v>0</v>
      </c>
      <c r="J442">
        <f t="shared" si="89"/>
        <v>11582</v>
      </c>
      <c r="K442" s="15">
        <f t="shared" si="83"/>
        <v>912</v>
      </c>
      <c r="L442" s="15">
        <f t="shared" si="84"/>
        <v>285</v>
      </c>
      <c r="M442">
        <v>17</v>
      </c>
      <c r="N442">
        <v>2</v>
      </c>
      <c r="O442">
        <v>10</v>
      </c>
      <c r="P442">
        <v>6</v>
      </c>
      <c r="Q442" s="9">
        <v>252</v>
      </c>
      <c r="R442">
        <v>11</v>
      </c>
      <c r="S442" t="s">
        <v>68</v>
      </c>
      <c r="T442" s="11">
        <f t="shared" si="85"/>
        <v>12</v>
      </c>
      <c r="U442" s="11">
        <f t="shared" si="86"/>
        <v>10</v>
      </c>
      <c r="V442" t="str">
        <f t="shared" si="87"/>
        <v>ME7 4DD</v>
      </c>
      <c r="W442" t="str">
        <f t="shared" si="88"/>
        <v>BL6 6JW</v>
      </c>
      <c r="X442" s="12">
        <v>5199</v>
      </c>
      <c r="Y442" s="15">
        <f t="shared" si="78"/>
        <v>28</v>
      </c>
    </row>
    <row r="443" spans="1:25" x14ac:dyDescent="0.2">
      <c r="A443" t="s">
        <v>3</v>
      </c>
      <c r="B443" s="13">
        <v>42808</v>
      </c>
      <c r="C443" s="2" t="str">
        <f t="shared" si="79"/>
        <v>Tue</v>
      </c>
      <c r="D443" t="s">
        <v>12</v>
      </c>
      <c r="E443" t="s">
        <v>7</v>
      </c>
      <c r="F443" t="str">
        <f t="shared" si="80"/>
        <v>E</v>
      </c>
      <c r="G443">
        <f t="shared" si="81"/>
        <v>1</v>
      </c>
      <c r="H443" t="s">
        <v>32</v>
      </c>
      <c r="I443">
        <f t="shared" si="82"/>
        <v>0</v>
      </c>
      <c r="J443">
        <f t="shared" si="89"/>
        <v>7653</v>
      </c>
      <c r="K443" s="15">
        <f t="shared" si="83"/>
        <v>697</v>
      </c>
      <c r="L443" s="15">
        <f t="shared" si="84"/>
        <v>249</v>
      </c>
      <c r="M443">
        <v>15</v>
      </c>
      <c r="N443">
        <v>21</v>
      </c>
      <c r="O443">
        <v>7</v>
      </c>
      <c r="P443">
        <v>5</v>
      </c>
      <c r="Q443" s="9">
        <v>148</v>
      </c>
      <c r="R443">
        <v>10</v>
      </c>
      <c r="T443" s="11">
        <f t="shared" si="85"/>
        <v>24</v>
      </c>
      <c r="U443" s="11">
        <f t="shared" si="86"/>
        <v>24</v>
      </c>
      <c r="V443" t="str">
        <f t="shared" si="87"/>
        <v>NN5 5QA</v>
      </c>
      <c r="W443" t="str">
        <f t="shared" si="88"/>
        <v>ST6 1AW</v>
      </c>
      <c r="X443" s="12">
        <v>4812</v>
      </c>
      <c r="Y443" s="15">
        <f t="shared" si="78"/>
        <v>24</v>
      </c>
    </row>
    <row r="444" spans="1:25" x14ac:dyDescent="0.2">
      <c r="A444" t="s">
        <v>3</v>
      </c>
      <c r="B444" s="13">
        <v>42808</v>
      </c>
      <c r="C444" s="2" t="str">
        <f t="shared" si="79"/>
        <v>Tue</v>
      </c>
      <c r="D444" t="s">
        <v>11</v>
      </c>
      <c r="E444" t="s">
        <v>14</v>
      </c>
      <c r="F444" t="str">
        <f t="shared" si="80"/>
        <v>E</v>
      </c>
      <c r="G444">
        <f t="shared" si="81"/>
        <v>1</v>
      </c>
      <c r="H444" t="s">
        <v>32</v>
      </c>
      <c r="I444">
        <f t="shared" si="82"/>
        <v>0</v>
      </c>
      <c r="J444">
        <f t="shared" si="89"/>
        <v>13559</v>
      </c>
      <c r="K444" s="15">
        <f t="shared" si="83"/>
        <v>1000</v>
      </c>
      <c r="L444" s="15">
        <f t="shared" si="84"/>
        <v>300</v>
      </c>
      <c r="M444">
        <v>20</v>
      </c>
      <c r="N444">
        <v>11</v>
      </c>
      <c r="O444">
        <v>6</v>
      </c>
      <c r="P444">
        <v>9</v>
      </c>
      <c r="Q444" s="9">
        <v>173</v>
      </c>
      <c r="R444">
        <v>10</v>
      </c>
      <c r="T444" s="11">
        <f t="shared" si="85"/>
        <v>22</v>
      </c>
      <c r="U444" s="11">
        <f t="shared" si="86"/>
        <v>24</v>
      </c>
      <c r="V444" t="str">
        <f t="shared" si="87"/>
        <v>OL1 2PA</v>
      </c>
      <c r="W444" t="str">
        <f t="shared" si="88"/>
        <v>OX4 4XP</v>
      </c>
      <c r="X444" s="12">
        <v>3124</v>
      </c>
      <c r="Y444" s="15">
        <f t="shared" si="78"/>
        <v>24</v>
      </c>
    </row>
    <row r="445" spans="1:25" x14ac:dyDescent="0.2">
      <c r="A445" t="s">
        <v>3</v>
      </c>
      <c r="B445" s="13">
        <v>42808</v>
      </c>
      <c r="C445" s="2" t="str">
        <f t="shared" si="79"/>
        <v>Tue</v>
      </c>
      <c r="D445" t="s">
        <v>18</v>
      </c>
      <c r="E445" t="s">
        <v>16</v>
      </c>
      <c r="F445" t="str">
        <f t="shared" si="80"/>
        <v>E</v>
      </c>
      <c r="G445">
        <f t="shared" si="81"/>
        <v>1</v>
      </c>
      <c r="H445" t="s">
        <v>32</v>
      </c>
      <c r="I445">
        <f t="shared" si="82"/>
        <v>0</v>
      </c>
      <c r="J445">
        <f t="shared" si="89"/>
        <v>9183</v>
      </c>
      <c r="K445" s="15">
        <f t="shared" si="83"/>
        <v>497</v>
      </c>
      <c r="L445" s="15">
        <f t="shared" si="84"/>
        <v>288</v>
      </c>
      <c r="M445">
        <v>5</v>
      </c>
      <c r="N445">
        <v>8</v>
      </c>
      <c r="O445">
        <v>1</v>
      </c>
      <c r="P445">
        <v>3</v>
      </c>
      <c r="Q445" s="9">
        <v>82</v>
      </c>
      <c r="R445">
        <v>10</v>
      </c>
      <c r="T445" s="11">
        <f t="shared" si="85"/>
        <v>18</v>
      </c>
      <c r="U445" s="11">
        <f t="shared" si="86"/>
        <v>22</v>
      </c>
      <c r="V445" t="str">
        <f t="shared" si="87"/>
        <v>DN15 8TD</v>
      </c>
      <c r="W445" t="str">
        <f t="shared" si="88"/>
        <v>OL11 5DR</v>
      </c>
      <c r="X445" s="12">
        <v>3225</v>
      </c>
      <c r="Y445" s="15">
        <f t="shared" si="78"/>
        <v>23</v>
      </c>
    </row>
    <row r="446" spans="1:25" x14ac:dyDescent="0.2">
      <c r="A446" t="s">
        <v>3</v>
      </c>
      <c r="B446" s="13">
        <v>42808</v>
      </c>
      <c r="C446" s="2" t="str">
        <f t="shared" si="79"/>
        <v>Tue</v>
      </c>
      <c r="D446" t="s">
        <v>24</v>
      </c>
      <c r="E446" t="s">
        <v>5</v>
      </c>
      <c r="F446" t="str">
        <f t="shared" si="80"/>
        <v>E</v>
      </c>
      <c r="G446">
        <f t="shared" si="81"/>
        <v>1</v>
      </c>
      <c r="H446" t="s">
        <v>32</v>
      </c>
      <c r="I446">
        <f t="shared" si="82"/>
        <v>0</v>
      </c>
      <c r="J446">
        <f t="shared" si="89"/>
        <v>15728</v>
      </c>
      <c r="K446" s="15">
        <f t="shared" si="83"/>
        <v>1622</v>
      </c>
      <c r="L446" s="15">
        <f t="shared" si="84"/>
        <v>345</v>
      </c>
      <c r="M446">
        <v>22</v>
      </c>
      <c r="N446">
        <v>1</v>
      </c>
      <c r="O446">
        <v>7</v>
      </c>
      <c r="P446">
        <v>9</v>
      </c>
      <c r="Q446" s="9">
        <v>176</v>
      </c>
      <c r="R446">
        <v>10</v>
      </c>
      <c r="T446" s="11">
        <f t="shared" si="85"/>
        <v>19</v>
      </c>
      <c r="U446" s="11">
        <f t="shared" si="86"/>
        <v>19</v>
      </c>
      <c r="V446" t="str">
        <f t="shared" si="87"/>
        <v>SN1 2ED</v>
      </c>
      <c r="W446" t="str">
        <f t="shared" si="88"/>
        <v>S2 4SU</v>
      </c>
      <c r="X446" s="12">
        <v>7012</v>
      </c>
      <c r="Y446" s="15">
        <f t="shared" si="78"/>
        <v>25</v>
      </c>
    </row>
    <row r="447" spans="1:25" x14ac:dyDescent="0.2">
      <c r="A447" t="s">
        <v>3</v>
      </c>
      <c r="B447" s="13">
        <v>42808</v>
      </c>
      <c r="C447" s="2" t="str">
        <f t="shared" si="79"/>
        <v>Tue</v>
      </c>
      <c r="D447" t="s">
        <v>26</v>
      </c>
      <c r="E447" t="s">
        <v>13</v>
      </c>
      <c r="F447" t="str">
        <f t="shared" si="80"/>
        <v>E</v>
      </c>
      <c r="G447">
        <f t="shared" si="81"/>
        <v>1</v>
      </c>
      <c r="H447" t="s">
        <v>32</v>
      </c>
      <c r="I447">
        <f t="shared" si="82"/>
        <v>0</v>
      </c>
      <c r="J447">
        <f t="shared" si="89"/>
        <v>11300</v>
      </c>
      <c r="K447" s="15">
        <f t="shared" si="83"/>
        <v>210</v>
      </c>
      <c r="L447" s="15">
        <f t="shared" si="84"/>
        <v>253</v>
      </c>
      <c r="M447">
        <v>10</v>
      </c>
      <c r="N447">
        <v>3</v>
      </c>
      <c r="O447">
        <v>10</v>
      </c>
      <c r="P447">
        <v>12</v>
      </c>
      <c r="Q447" s="9">
        <v>121</v>
      </c>
      <c r="R447">
        <v>12</v>
      </c>
      <c r="T447" s="11">
        <f t="shared" si="85"/>
        <v>20</v>
      </c>
      <c r="U447" s="11">
        <f t="shared" si="86"/>
        <v>20</v>
      </c>
      <c r="V447" t="str">
        <f t="shared" si="87"/>
        <v>WS1 4SA</v>
      </c>
      <c r="W447" t="str">
        <f t="shared" si="88"/>
        <v>FY7 6TX</v>
      </c>
      <c r="X447" s="12">
        <v>3890</v>
      </c>
      <c r="Y447" s="15">
        <f t="shared" si="78"/>
        <v>25.5</v>
      </c>
    </row>
    <row r="448" spans="1:25" x14ac:dyDescent="0.2">
      <c r="A448" t="s">
        <v>3</v>
      </c>
      <c r="B448" s="13">
        <v>42811</v>
      </c>
      <c r="C448" s="2" t="str">
        <f t="shared" si="79"/>
        <v>Fri</v>
      </c>
      <c r="D448" t="s">
        <v>7</v>
      </c>
      <c r="E448" t="s">
        <v>20</v>
      </c>
      <c r="F448" t="str">
        <f t="shared" si="80"/>
        <v>E</v>
      </c>
      <c r="G448">
        <f t="shared" si="81"/>
        <v>1</v>
      </c>
      <c r="H448" t="s">
        <v>32</v>
      </c>
      <c r="I448">
        <f t="shared" si="82"/>
        <v>0</v>
      </c>
      <c r="J448">
        <f t="shared" si="89"/>
        <v>18947</v>
      </c>
      <c r="K448" s="15">
        <f t="shared" si="83"/>
        <v>438</v>
      </c>
      <c r="L448" s="15">
        <f t="shared" si="84"/>
        <v>345</v>
      </c>
      <c r="M448">
        <v>19</v>
      </c>
      <c r="N448">
        <v>21</v>
      </c>
      <c r="O448">
        <v>4</v>
      </c>
      <c r="P448">
        <v>8</v>
      </c>
      <c r="Q448" s="9">
        <v>41</v>
      </c>
      <c r="R448">
        <v>9</v>
      </c>
      <c r="T448" s="11">
        <f t="shared" si="85"/>
        <v>22</v>
      </c>
      <c r="U448" s="11">
        <f t="shared" si="86"/>
        <v>22</v>
      </c>
      <c r="V448" t="str">
        <f t="shared" si="87"/>
        <v>ST6 1AW</v>
      </c>
      <c r="W448" t="str">
        <f t="shared" si="88"/>
        <v>SY2 6ST</v>
      </c>
      <c r="X448" s="12">
        <v>4626</v>
      </c>
      <c r="Y448" s="15">
        <f t="shared" si="78"/>
        <v>23</v>
      </c>
    </row>
    <row r="449" spans="1:25" x14ac:dyDescent="0.2">
      <c r="A449" t="s">
        <v>3</v>
      </c>
      <c r="B449" s="13">
        <v>42812</v>
      </c>
      <c r="C449" s="2" t="str">
        <f t="shared" si="79"/>
        <v>Sat</v>
      </c>
      <c r="D449" t="s">
        <v>4</v>
      </c>
      <c r="E449" t="s">
        <v>12</v>
      </c>
      <c r="F449" t="str">
        <f t="shared" si="80"/>
        <v>D</v>
      </c>
      <c r="G449">
        <f t="shared" si="81"/>
        <v>0</v>
      </c>
      <c r="H449" t="s">
        <v>32</v>
      </c>
      <c r="I449">
        <f t="shared" si="82"/>
        <v>0</v>
      </c>
      <c r="J449">
        <f t="shared" si="89"/>
        <v>28723</v>
      </c>
      <c r="K449" s="15">
        <f t="shared" si="83"/>
        <v>843</v>
      </c>
      <c r="L449" s="15">
        <f t="shared" si="84"/>
        <v>280</v>
      </c>
      <c r="M449">
        <v>2</v>
      </c>
      <c r="N449">
        <v>14</v>
      </c>
      <c r="O449">
        <v>8</v>
      </c>
      <c r="P449">
        <v>9</v>
      </c>
      <c r="Q449" s="9">
        <v>148</v>
      </c>
      <c r="R449">
        <v>11</v>
      </c>
      <c r="T449" s="11">
        <f t="shared" si="85"/>
        <v>15</v>
      </c>
      <c r="U449" s="11">
        <f t="shared" si="86"/>
        <v>15</v>
      </c>
      <c r="V449" t="str">
        <f t="shared" si="87"/>
        <v>BL6 6JW</v>
      </c>
      <c r="W449" t="str">
        <f t="shared" si="88"/>
        <v>NN5 5QA</v>
      </c>
      <c r="X449" s="12">
        <v>14255</v>
      </c>
      <c r="Y449" s="15">
        <f t="shared" si="78"/>
        <v>30</v>
      </c>
    </row>
    <row r="450" spans="1:25" x14ac:dyDescent="0.2">
      <c r="A450" t="s">
        <v>3</v>
      </c>
      <c r="B450" s="13">
        <v>42812</v>
      </c>
      <c r="C450" s="2" t="str">
        <f t="shared" si="79"/>
        <v>Sat</v>
      </c>
      <c r="D450" t="s">
        <v>6</v>
      </c>
      <c r="E450" t="s">
        <v>24</v>
      </c>
      <c r="F450" t="str">
        <f t="shared" si="80"/>
        <v>D</v>
      </c>
      <c r="G450">
        <f t="shared" si="81"/>
        <v>0</v>
      </c>
      <c r="H450" t="s">
        <v>32</v>
      </c>
      <c r="I450">
        <f t="shared" si="82"/>
        <v>0</v>
      </c>
      <c r="J450">
        <f t="shared" si="89"/>
        <v>25136</v>
      </c>
      <c r="K450" s="15">
        <f t="shared" si="83"/>
        <v>503</v>
      </c>
      <c r="L450" s="15">
        <f t="shared" si="84"/>
        <v>149</v>
      </c>
      <c r="M450">
        <v>5</v>
      </c>
      <c r="N450">
        <v>22</v>
      </c>
      <c r="O450">
        <v>11</v>
      </c>
      <c r="P450">
        <v>6</v>
      </c>
      <c r="Q450" s="9">
        <v>205</v>
      </c>
      <c r="R450">
        <v>11</v>
      </c>
      <c r="S450" t="s">
        <v>68</v>
      </c>
      <c r="T450" s="11">
        <f t="shared" si="85"/>
        <v>25</v>
      </c>
      <c r="U450" s="11">
        <f t="shared" si="86"/>
        <v>20</v>
      </c>
      <c r="V450" t="str">
        <f t="shared" si="87"/>
        <v>BD8 7DY</v>
      </c>
      <c r="W450" t="str">
        <f t="shared" si="88"/>
        <v>SN1 2ED</v>
      </c>
      <c r="X450" s="12">
        <v>17916</v>
      </c>
      <c r="Y450" s="15">
        <f t="shared" ref="Y450:Y513" si="90">IF(D450="AFC Wimbledon",29,IF(D450="Bolton",30,IF(D450="Bury",22,IF(D450="Bradford",25,IF(D450="Bristol Rvs",26,IF(D450="Charlton",35,IF(D450="Chesterfield",26,IF(D450="Coventry",26,IF(D450="Gillingham",28,IF(D450="Millwall",30,IF(D450="Milton Keynes Dons",27,IF(D450="Northampton",24,IF(D450="Oldham",24,IF(D450="Oxford",24,IF(D450="Peterboro",26,IF(D450="Port Vale",23,IF(D450="Rochdale",22,IF(D450="Scunthorpe",23,IF(D450="Sheffield United",29,IF(D450="Southend",25,IF(D450="Shrewsbury",22,IF(D450="Swindon",25,IF(D450="Walsall",25.5,IF(D450="Fleetwood Town",23.5,"Unknown"))))))))))))))))))))))))</f>
        <v>25</v>
      </c>
    </row>
    <row r="451" spans="1:25" x14ac:dyDescent="0.2">
      <c r="A451" t="s">
        <v>3</v>
      </c>
      <c r="B451" s="13">
        <v>42812</v>
      </c>
      <c r="C451" s="2" t="str">
        <f t="shared" ref="C451:C514" si="91">TEXT(B451,"ddd")</f>
        <v>Sat</v>
      </c>
      <c r="D451" t="s">
        <v>19</v>
      </c>
      <c r="E451" t="s">
        <v>15</v>
      </c>
      <c r="F451" t="str">
        <f t="shared" ref="F451:F514" si="92">IF(C451="Sat","D",IF(C451="Sun","D","E"))</f>
        <v>D</v>
      </c>
      <c r="G451">
        <f t="shared" ref="G451:G514" si="93">IF(F451="D",0,1)</f>
        <v>0</v>
      </c>
      <c r="H451" t="s">
        <v>32</v>
      </c>
      <c r="I451">
        <f t="shared" ref="I451:I514" si="94">IF(H451="N",0,1)</f>
        <v>0</v>
      </c>
      <c r="J451">
        <f t="shared" si="89"/>
        <v>12000</v>
      </c>
      <c r="K451" s="15">
        <f t="shared" ref="K451:K514" si="95">IF(E451="AFC Wimbledon",622,IF(E451="Bolton",912,IF(E451="Bury",608,IF(E451="Bradford",1437,IF(E451="Bristol Rvs",1159,IF(E451="Charlton",680,IF(E451="Chesterfield",583,IF(E451="Coventry",1280,IF(E451="Gillingham",533,IF(E451="Millwall",827,IF(E451="Milton Keynes Dons",596,IF(E451="Northampton",843,IF(E451="Oldham",729,IF(E451="Oxford",1000,IF(E451="Peterboro",598,IF(E451="Port Vale",697,IF(E451="Rochdale",497,IF(E451="Scunthorpe",508,IF(E451="Sheffield United",1622,IF(E451="Southend",635,IF(E451="Shrewsbury",438,IF(E451="Swindon",503,IF(E451="Walsall",792,IF(E451="Fleetwood Town",210,"Unknown"))))))))))))))))))))))))</f>
        <v>583</v>
      </c>
      <c r="L451" s="15">
        <f t="shared" ref="L451:L514" si="96">IF(D451="AFC Wimbledon",260,IF(D451="Bolton",280,IF(D451="Bury",275,IF(D451="Bradford",149,IF(D451="Bristol Rvs",260,IF(D451="Charlton",175,IF(D451="Chesterfield",345,IF(D451="Coventry",299,IF(D451="Gillingham",285,IF(D451="Millwall",333,IF(D451="Milton Keynes Dons",312,IF(D451="Northampton",249,IF(D451="Oldham",300,IF(D451="Oxford",290,IF(D451="Peterboro",295,IF(D451="Port Vale",345,IF(D451="Rochdale",290,IF(D451="Scunthorpe",288,IF(D451="Sheffield United",288,IF(D451="Southend",395,IF(D451="Shrewsbury",285,IF(D451="Swindon",345,IF(D451="Walsall",253,IF(D451="Fleetwood Town",210,"Unknown"))))))))))))))))))))))))</f>
        <v>260</v>
      </c>
      <c r="M451">
        <v>9</v>
      </c>
      <c r="N451">
        <v>23</v>
      </c>
      <c r="O451">
        <v>8</v>
      </c>
      <c r="P451">
        <v>5</v>
      </c>
      <c r="Q451" s="9">
        <v>167</v>
      </c>
      <c r="R451">
        <v>9</v>
      </c>
      <c r="T451" s="11">
        <f t="shared" ref="T451:T514" si="97">IF(D451="AFC Wimbledon",17,IF(D451="Bolton",15,IF(D451="Bury",18,IF(D451="Bradford",25,IF(D451="Bristol Rvs",18,IF(D451="Charlton",20,IF(D451="Chesterfield",22,IF(D451="Coventry",22,IF(D451="Gillingham",12,IF(D451="Millwall",22,IF(D451="Milton Keynes Dons",22,IF(D451="Northampton",24,IF(D451="Oldham",22,IF(D451="Oxford",20,IF(D451="Peterboro",21,IF(D451="Port Vale",22,IF(D451="Rochdale",17,IF(D451="Scunthorpe",18,IF(D451="Sheffield United",20,IF(D451="Southend",25,IF(D451="Shrewsbury",20,IF(D451="Swindon",19,IF(D451="Walsall",20,IF(D451="Fleetwood Town",21.5,"Unknown"))))))))))))))))))))))))</f>
        <v>18</v>
      </c>
      <c r="U451" s="11">
        <f t="shared" ref="U451:U514" si="98">IF(D451="AFC Wimbledon",17,IF(D451="Bolton",15,IF(D451="Bury",18,IF(D451="Bradford",20,IF(D451="Bristol Rvs",16,IF(D451="Charlton",20,IF(D451="Chesterfield",20,IF(D451="Coventry",22,IF(D451="Gillingham",10,IF(D451="Millwall",23,IF(D451="Milton Keynes Dons",22,IF(D451="Northampton",24,IF(D451="Oldham",24,IF(D451="Oxford",21,IF(D451="Peterboro",20,IF(D451="Port Vale",22,IF(D451="Rochdale",22,IF(D451="Scunthorpe",22,IF(D451="Sheffield United",20,IF(D451="Southend",22,IF(D451="Shrewsbury",20,IF(D451="Swindon",19,IF(D451="Walsall",20,IF(D451="Fleetwood Town",21.5,"Unknown"))))))))))))))))))))))))</f>
        <v>16</v>
      </c>
      <c r="V451" t="str">
        <f t="shared" si="87"/>
        <v>BS7 0BF</v>
      </c>
      <c r="W451" t="str">
        <f t="shared" si="88"/>
        <v>S41 8NZ</v>
      </c>
      <c r="X451" s="12">
        <v>8524</v>
      </c>
      <c r="Y451" s="15">
        <f t="shared" si="90"/>
        <v>26</v>
      </c>
    </row>
    <row r="452" spans="1:25" x14ac:dyDescent="0.2">
      <c r="A452" t="s">
        <v>3</v>
      </c>
      <c r="B452" s="13">
        <v>42812</v>
      </c>
      <c r="C452" s="2" t="str">
        <f t="shared" si="91"/>
        <v>Sat</v>
      </c>
      <c r="D452" t="s">
        <v>13</v>
      </c>
      <c r="E452" t="s">
        <v>27</v>
      </c>
      <c r="F452" t="str">
        <f t="shared" si="92"/>
        <v>D</v>
      </c>
      <c r="G452">
        <f t="shared" si="93"/>
        <v>0</v>
      </c>
      <c r="H452" t="s">
        <v>32</v>
      </c>
      <c r="I452">
        <f t="shared" si="94"/>
        <v>0</v>
      </c>
      <c r="J452">
        <f t="shared" si="89"/>
        <v>5327</v>
      </c>
      <c r="K452" s="15">
        <f t="shared" si="95"/>
        <v>622</v>
      </c>
      <c r="L452" s="15">
        <f t="shared" si="96"/>
        <v>210</v>
      </c>
      <c r="M452">
        <v>3</v>
      </c>
      <c r="N452">
        <v>10</v>
      </c>
      <c r="O452">
        <v>12</v>
      </c>
      <c r="P452">
        <v>10</v>
      </c>
      <c r="Q452" s="9">
        <v>270</v>
      </c>
      <c r="R452">
        <v>10</v>
      </c>
      <c r="S452" t="s">
        <v>68</v>
      </c>
      <c r="T452" s="11">
        <f t="shared" si="97"/>
        <v>21.5</v>
      </c>
      <c r="U452" s="11">
        <f t="shared" si="98"/>
        <v>21.5</v>
      </c>
      <c r="V452" t="str">
        <f t="shared" si="87"/>
        <v>FY7 6TX</v>
      </c>
      <c r="W452" t="str">
        <f t="shared" si="88"/>
        <v>KT1 3PB</v>
      </c>
      <c r="X452" s="12">
        <v>2802</v>
      </c>
      <c r="Y452" s="15">
        <f t="shared" si="90"/>
        <v>23.5</v>
      </c>
    </row>
    <row r="453" spans="1:25" x14ac:dyDescent="0.2">
      <c r="A453" t="s">
        <v>3</v>
      </c>
      <c r="B453" s="13">
        <v>42812</v>
      </c>
      <c r="C453" s="2" t="str">
        <f t="shared" si="91"/>
        <v>Sat</v>
      </c>
      <c r="D453" t="s">
        <v>10</v>
      </c>
      <c r="E453" t="s">
        <v>8</v>
      </c>
      <c r="F453" t="str">
        <f t="shared" si="92"/>
        <v>D</v>
      </c>
      <c r="G453">
        <f t="shared" si="93"/>
        <v>0</v>
      </c>
      <c r="H453" t="s">
        <v>32</v>
      </c>
      <c r="I453">
        <f t="shared" si="94"/>
        <v>0</v>
      </c>
      <c r="J453">
        <f t="shared" si="89"/>
        <v>20146</v>
      </c>
      <c r="K453" s="15">
        <f t="shared" si="95"/>
        <v>608</v>
      </c>
      <c r="L453" s="15">
        <f t="shared" si="96"/>
        <v>333</v>
      </c>
      <c r="M453">
        <v>6</v>
      </c>
      <c r="N453">
        <v>18</v>
      </c>
      <c r="O453">
        <v>11</v>
      </c>
      <c r="P453">
        <v>10</v>
      </c>
      <c r="Q453" s="9">
        <v>228</v>
      </c>
      <c r="R453">
        <v>14</v>
      </c>
      <c r="T453" s="11">
        <f t="shared" si="97"/>
        <v>22</v>
      </c>
      <c r="U453" s="11">
        <f t="shared" si="98"/>
        <v>23</v>
      </c>
      <c r="V453" t="str">
        <f t="shared" si="87"/>
        <v>SE16 3LN</v>
      </c>
      <c r="W453" t="str">
        <f t="shared" si="88"/>
        <v>BL9 9HR</v>
      </c>
      <c r="X453" s="12">
        <v>9049</v>
      </c>
      <c r="Y453" s="15">
        <f t="shared" si="90"/>
        <v>30</v>
      </c>
    </row>
    <row r="454" spans="1:25" x14ac:dyDescent="0.2">
      <c r="A454" t="s">
        <v>3</v>
      </c>
      <c r="B454" s="13">
        <v>42812</v>
      </c>
      <c r="C454" s="2" t="str">
        <f t="shared" si="91"/>
        <v>Sat</v>
      </c>
      <c r="D454" t="s">
        <v>21</v>
      </c>
      <c r="E454" t="s">
        <v>25</v>
      </c>
      <c r="F454" t="str">
        <f t="shared" si="92"/>
        <v>D</v>
      </c>
      <c r="G454">
        <f t="shared" si="93"/>
        <v>0</v>
      </c>
      <c r="H454" t="s">
        <v>32</v>
      </c>
      <c r="I454">
        <f t="shared" si="94"/>
        <v>0</v>
      </c>
      <c r="J454">
        <f t="shared" si="89"/>
        <v>30500</v>
      </c>
      <c r="K454" s="15">
        <f t="shared" si="95"/>
        <v>1280</v>
      </c>
      <c r="L454" s="15">
        <f t="shared" si="96"/>
        <v>312</v>
      </c>
      <c r="M454">
        <v>16</v>
      </c>
      <c r="N454">
        <v>24</v>
      </c>
      <c r="O454">
        <v>5</v>
      </c>
      <c r="P454">
        <v>1</v>
      </c>
      <c r="Q454" s="9">
        <v>59</v>
      </c>
      <c r="R454">
        <v>14</v>
      </c>
      <c r="S454" t="s">
        <v>74</v>
      </c>
      <c r="T454" s="11">
        <f t="shared" si="97"/>
        <v>22</v>
      </c>
      <c r="U454" s="11">
        <f t="shared" si="98"/>
        <v>22</v>
      </c>
      <c r="V454" t="str">
        <f t="shared" si="87"/>
        <v>MK1 1ST</v>
      </c>
      <c r="W454" t="str">
        <f t="shared" si="88"/>
        <v>CV6 6GE</v>
      </c>
      <c r="X454" s="12">
        <v>9060</v>
      </c>
      <c r="Y454" s="15">
        <f t="shared" si="90"/>
        <v>27</v>
      </c>
    </row>
    <row r="455" spans="1:25" x14ac:dyDescent="0.2">
      <c r="A455" t="s">
        <v>3</v>
      </c>
      <c r="B455" s="13">
        <v>42812</v>
      </c>
      <c r="C455" s="2" t="str">
        <f t="shared" si="91"/>
        <v>Sat</v>
      </c>
      <c r="D455" t="s">
        <v>14</v>
      </c>
      <c r="E455" t="s">
        <v>18</v>
      </c>
      <c r="F455" t="str">
        <f t="shared" si="92"/>
        <v>D</v>
      </c>
      <c r="G455">
        <f t="shared" si="93"/>
        <v>0</v>
      </c>
      <c r="H455" t="s">
        <v>32</v>
      </c>
      <c r="I455">
        <f t="shared" si="94"/>
        <v>0</v>
      </c>
      <c r="J455">
        <f t="shared" si="89"/>
        <v>12500</v>
      </c>
      <c r="K455" s="15">
        <f t="shared" si="95"/>
        <v>508</v>
      </c>
      <c r="L455" s="15">
        <f t="shared" si="96"/>
        <v>290</v>
      </c>
      <c r="M455">
        <v>12</v>
      </c>
      <c r="N455">
        <v>4</v>
      </c>
      <c r="O455">
        <v>6</v>
      </c>
      <c r="P455">
        <v>4</v>
      </c>
      <c r="Q455" s="9">
        <v>177</v>
      </c>
      <c r="R455">
        <v>13</v>
      </c>
      <c r="T455" s="11">
        <f t="shared" si="97"/>
        <v>20</v>
      </c>
      <c r="U455" s="11">
        <f t="shared" si="98"/>
        <v>21</v>
      </c>
      <c r="V455" t="str">
        <f t="shared" si="87"/>
        <v>OX4 4XP</v>
      </c>
      <c r="W455" t="str">
        <f t="shared" si="88"/>
        <v>DN15 8TD</v>
      </c>
      <c r="X455" s="12">
        <v>7652</v>
      </c>
      <c r="Y455" s="15">
        <f t="shared" si="90"/>
        <v>24</v>
      </c>
    </row>
    <row r="456" spans="1:25" x14ac:dyDescent="0.2">
      <c r="A456" t="s">
        <v>3</v>
      </c>
      <c r="B456" s="13">
        <v>42812</v>
      </c>
      <c r="C456" s="2" t="str">
        <f t="shared" si="91"/>
        <v>Sat</v>
      </c>
      <c r="D456" t="s">
        <v>17</v>
      </c>
      <c r="E456" t="s">
        <v>11</v>
      </c>
      <c r="F456" t="str">
        <f t="shared" si="92"/>
        <v>D</v>
      </c>
      <c r="G456">
        <f t="shared" si="93"/>
        <v>0</v>
      </c>
      <c r="H456" t="s">
        <v>32</v>
      </c>
      <c r="I456">
        <f t="shared" si="94"/>
        <v>0</v>
      </c>
      <c r="J456">
        <f t="shared" si="89"/>
        <v>15314</v>
      </c>
      <c r="K456" s="15">
        <f t="shared" si="95"/>
        <v>729</v>
      </c>
      <c r="L456" s="15">
        <f t="shared" si="96"/>
        <v>295</v>
      </c>
      <c r="M456">
        <v>13</v>
      </c>
      <c r="N456">
        <v>20</v>
      </c>
      <c r="O456">
        <v>4</v>
      </c>
      <c r="P456">
        <v>8</v>
      </c>
      <c r="Q456" s="9">
        <v>147</v>
      </c>
      <c r="R456">
        <v>11</v>
      </c>
      <c r="T456" s="11">
        <f t="shared" si="97"/>
        <v>21</v>
      </c>
      <c r="U456" s="11">
        <f t="shared" si="98"/>
        <v>20</v>
      </c>
      <c r="V456" t="str">
        <f t="shared" si="87"/>
        <v>PE2 8AL</v>
      </c>
      <c r="W456" t="str">
        <f t="shared" si="88"/>
        <v>OL1 2PA</v>
      </c>
      <c r="X456" s="12">
        <v>4222</v>
      </c>
      <c r="Y456" s="15">
        <f t="shared" si="90"/>
        <v>26</v>
      </c>
    </row>
    <row r="457" spans="1:25" x14ac:dyDescent="0.2">
      <c r="A457" t="s">
        <v>3</v>
      </c>
      <c r="B457" s="13">
        <v>42812</v>
      </c>
      <c r="C457" s="2" t="str">
        <f t="shared" si="91"/>
        <v>Sat</v>
      </c>
      <c r="D457" t="s">
        <v>16</v>
      </c>
      <c r="E457" t="s">
        <v>23</v>
      </c>
      <c r="F457" t="str">
        <f t="shared" si="92"/>
        <v>D</v>
      </c>
      <c r="G457">
        <f t="shared" si="93"/>
        <v>0</v>
      </c>
      <c r="H457" t="s">
        <v>32</v>
      </c>
      <c r="I457">
        <f t="shared" si="94"/>
        <v>0</v>
      </c>
      <c r="J457">
        <f t="shared" si="89"/>
        <v>10249</v>
      </c>
      <c r="K457" s="15">
        <f t="shared" si="95"/>
        <v>533</v>
      </c>
      <c r="L457" s="15">
        <f t="shared" si="96"/>
        <v>290</v>
      </c>
      <c r="M457">
        <v>8</v>
      </c>
      <c r="N457">
        <v>17</v>
      </c>
      <c r="O457">
        <v>3</v>
      </c>
      <c r="P457">
        <v>9</v>
      </c>
      <c r="Q457" s="9">
        <v>263</v>
      </c>
      <c r="R457">
        <v>11</v>
      </c>
      <c r="S457" t="s">
        <v>68</v>
      </c>
      <c r="T457" s="11">
        <f t="shared" si="97"/>
        <v>17</v>
      </c>
      <c r="U457" s="11">
        <f t="shared" si="98"/>
        <v>22</v>
      </c>
      <c r="V457" t="str">
        <f t="shared" si="87"/>
        <v>OL11 5DR</v>
      </c>
      <c r="W457" t="str">
        <f t="shared" si="88"/>
        <v>ME7 4DD</v>
      </c>
      <c r="X457" s="12">
        <v>2582</v>
      </c>
      <c r="Y457" s="15">
        <f t="shared" si="90"/>
        <v>22</v>
      </c>
    </row>
    <row r="458" spans="1:25" x14ac:dyDescent="0.2">
      <c r="A458" t="s">
        <v>3</v>
      </c>
      <c r="B458" s="13">
        <v>42812</v>
      </c>
      <c r="C458" s="2" t="str">
        <f t="shared" si="91"/>
        <v>Sat</v>
      </c>
      <c r="D458" t="s">
        <v>5</v>
      </c>
      <c r="E458" t="s">
        <v>9</v>
      </c>
      <c r="F458" t="str">
        <f t="shared" si="92"/>
        <v>D</v>
      </c>
      <c r="G458">
        <f t="shared" si="93"/>
        <v>0</v>
      </c>
      <c r="H458" t="s">
        <v>32</v>
      </c>
      <c r="I458">
        <f t="shared" si="94"/>
        <v>0</v>
      </c>
      <c r="J458">
        <f t="shared" si="89"/>
        <v>32702</v>
      </c>
      <c r="K458" s="15">
        <f t="shared" si="95"/>
        <v>680</v>
      </c>
      <c r="L458" s="15">
        <f t="shared" si="96"/>
        <v>288</v>
      </c>
      <c r="M458">
        <v>1</v>
      </c>
      <c r="N458">
        <v>15</v>
      </c>
      <c r="O458">
        <v>11</v>
      </c>
      <c r="P458">
        <v>5</v>
      </c>
      <c r="Q458" s="9">
        <v>187</v>
      </c>
      <c r="R458">
        <v>11</v>
      </c>
      <c r="S458" t="s">
        <v>68</v>
      </c>
      <c r="T458" s="11">
        <f t="shared" si="97"/>
        <v>20</v>
      </c>
      <c r="U458" s="11">
        <f t="shared" si="98"/>
        <v>20</v>
      </c>
      <c r="V458" t="str">
        <f t="shared" si="87"/>
        <v>S2 4SU</v>
      </c>
      <c r="W458" t="str">
        <f t="shared" si="88"/>
        <v>SE7 8BL</v>
      </c>
      <c r="X458" s="12">
        <v>23308</v>
      </c>
      <c r="Y458" s="15">
        <f t="shared" si="90"/>
        <v>29</v>
      </c>
    </row>
    <row r="459" spans="1:25" x14ac:dyDescent="0.2">
      <c r="A459" t="s">
        <v>3</v>
      </c>
      <c r="B459" s="13">
        <v>42812</v>
      </c>
      <c r="C459" s="2" t="str">
        <f t="shared" si="91"/>
        <v>Sat</v>
      </c>
      <c r="D459" t="s">
        <v>22</v>
      </c>
      <c r="E459" t="s">
        <v>26</v>
      </c>
      <c r="F459" t="str">
        <f t="shared" si="92"/>
        <v>D</v>
      </c>
      <c r="G459">
        <f t="shared" si="93"/>
        <v>0</v>
      </c>
      <c r="H459" t="s">
        <v>32</v>
      </c>
      <c r="I459">
        <f t="shared" si="94"/>
        <v>0</v>
      </c>
      <c r="J459">
        <f t="shared" si="89"/>
        <v>12392</v>
      </c>
      <c r="K459" s="15">
        <f t="shared" si="95"/>
        <v>792</v>
      </c>
      <c r="L459" s="15">
        <f t="shared" si="96"/>
        <v>395</v>
      </c>
      <c r="M459">
        <v>7</v>
      </c>
      <c r="N459">
        <v>11</v>
      </c>
      <c r="O459">
        <v>7</v>
      </c>
      <c r="P459">
        <v>7</v>
      </c>
      <c r="Q459" s="9">
        <v>103</v>
      </c>
      <c r="R459">
        <v>15</v>
      </c>
      <c r="T459" s="11">
        <f t="shared" si="97"/>
        <v>25</v>
      </c>
      <c r="U459" s="11">
        <f t="shared" si="98"/>
        <v>22</v>
      </c>
      <c r="V459" t="str">
        <f t="shared" si="87"/>
        <v>SS2 6NQ</v>
      </c>
      <c r="W459" t="str">
        <f t="shared" si="88"/>
        <v>WS1 4SA</v>
      </c>
      <c r="X459" s="12">
        <v>6756</v>
      </c>
      <c r="Y459" s="15">
        <f t="shared" si="90"/>
        <v>25</v>
      </c>
    </row>
    <row r="460" spans="1:25" x14ac:dyDescent="0.2">
      <c r="A460" t="s">
        <v>3</v>
      </c>
      <c r="B460" s="13">
        <v>42815</v>
      </c>
      <c r="C460" s="2" t="str">
        <f t="shared" si="91"/>
        <v>Tue</v>
      </c>
      <c r="D460" t="s">
        <v>25</v>
      </c>
      <c r="E460" t="s">
        <v>7</v>
      </c>
      <c r="F460" t="str">
        <f t="shared" si="92"/>
        <v>E</v>
      </c>
      <c r="G460">
        <f t="shared" si="93"/>
        <v>1</v>
      </c>
      <c r="H460" t="s">
        <v>32</v>
      </c>
      <c r="I460">
        <f t="shared" si="94"/>
        <v>0</v>
      </c>
      <c r="J460">
        <f t="shared" si="89"/>
        <v>32609</v>
      </c>
      <c r="K460" s="15">
        <f t="shared" si="95"/>
        <v>697</v>
      </c>
      <c r="L460" s="15">
        <f t="shared" si="96"/>
        <v>299</v>
      </c>
      <c r="M460">
        <v>23</v>
      </c>
      <c r="N460">
        <v>15</v>
      </c>
      <c r="O460">
        <v>1</v>
      </c>
      <c r="P460">
        <v>7</v>
      </c>
      <c r="Q460" s="9">
        <v>70</v>
      </c>
      <c r="R460">
        <v>5</v>
      </c>
      <c r="T460" s="11">
        <f t="shared" si="97"/>
        <v>22</v>
      </c>
      <c r="U460" s="11">
        <f t="shared" si="98"/>
        <v>22</v>
      </c>
      <c r="V460" t="str">
        <f t="shared" si="87"/>
        <v>CV6 6GE</v>
      </c>
      <c r="W460" t="str">
        <f t="shared" si="88"/>
        <v>ST6 1AW</v>
      </c>
      <c r="X460" s="12">
        <v>7696</v>
      </c>
      <c r="Y460" s="15">
        <f t="shared" si="90"/>
        <v>26</v>
      </c>
    </row>
    <row r="461" spans="1:25" x14ac:dyDescent="0.2">
      <c r="A461" t="s">
        <v>3</v>
      </c>
      <c r="B461" s="13">
        <v>42815</v>
      </c>
      <c r="C461" s="2" t="str">
        <f t="shared" si="91"/>
        <v>Tue</v>
      </c>
      <c r="D461" t="s">
        <v>14</v>
      </c>
      <c r="E461" t="s">
        <v>4</v>
      </c>
      <c r="F461" t="str">
        <f t="shared" si="92"/>
        <v>E</v>
      </c>
      <c r="G461">
        <f t="shared" si="93"/>
        <v>1</v>
      </c>
      <c r="H461" t="s">
        <v>32</v>
      </c>
      <c r="I461">
        <f t="shared" si="94"/>
        <v>0</v>
      </c>
      <c r="J461">
        <f t="shared" si="89"/>
        <v>12500</v>
      </c>
      <c r="K461" s="15">
        <f t="shared" si="95"/>
        <v>912</v>
      </c>
      <c r="L461" s="15">
        <f t="shared" si="96"/>
        <v>290</v>
      </c>
      <c r="M461">
        <v>12</v>
      </c>
      <c r="N461">
        <v>2</v>
      </c>
      <c r="O461">
        <v>6</v>
      </c>
      <c r="P461">
        <v>11</v>
      </c>
      <c r="Q461" s="9">
        <v>171</v>
      </c>
      <c r="R461">
        <v>5</v>
      </c>
      <c r="T461" s="11">
        <f t="shared" si="97"/>
        <v>20</v>
      </c>
      <c r="U461" s="11">
        <f t="shared" si="98"/>
        <v>21</v>
      </c>
      <c r="V461" t="str">
        <f t="shared" si="87"/>
        <v>OX4 4XP</v>
      </c>
      <c r="W461" t="str">
        <f t="shared" si="88"/>
        <v>BL6 6JW</v>
      </c>
      <c r="X461" s="12">
        <v>7146</v>
      </c>
      <c r="Y461" s="15">
        <f t="shared" si="90"/>
        <v>24</v>
      </c>
    </row>
    <row r="462" spans="1:25" x14ac:dyDescent="0.2">
      <c r="A462" t="s">
        <v>3</v>
      </c>
      <c r="B462" s="13">
        <v>42815</v>
      </c>
      <c r="C462" s="2" t="str">
        <f t="shared" si="91"/>
        <v>Tue</v>
      </c>
      <c r="D462" t="s">
        <v>16</v>
      </c>
      <c r="E462" t="s">
        <v>10</v>
      </c>
      <c r="F462" t="str">
        <f t="shared" si="92"/>
        <v>E</v>
      </c>
      <c r="G462">
        <f t="shared" si="93"/>
        <v>1</v>
      </c>
      <c r="H462" t="s">
        <v>32</v>
      </c>
      <c r="I462">
        <f t="shared" si="94"/>
        <v>0</v>
      </c>
      <c r="J462">
        <f t="shared" si="89"/>
        <v>10249</v>
      </c>
      <c r="K462" s="15">
        <f t="shared" si="95"/>
        <v>827</v>
      </c>
      <c r="L462" s="15">
        <f t="shared" si="96"/>
        <v>290</v>
      </c>
      <c r="M462">
        <v>8</v>
      </c>
      <c r="N462">
        <v>7</v>
      </c>
      <c r="O462">
        <v>5</v>
      </c>
      <c r="P462">
        <v>9</v>
      </c>
      <c r="Q462" s="9">
        <v>246</v>
      </c>
      <c r="R462">
        <v>5</v>
      </c>
      <c r="T462" s="11">
        <f t="shared" si="97"/>
        <v>17</v>
      </c>
      <c r="U462" s="11">
        <f t="shared" si="98"/>
        <v>22</v>
      </c>
      <c r="V462" t="str">
        <f t="shared" si="87"/>
        <v>OL11 5DR</v>
      </c>
      <c r="W462" t="str">
        <f t="shared" si="88"/>
        <v>SE16 3LN</v>
      </c>
      <c r="X462" s="12">
        <v>2334</v>
      </c>
      <c r="Y462" s="15">
        <f t="shared" si="90"/>
        <v>22</v>
      </c>
    </row>
    <row r="463" spans="1:25" x14ac:dyDescent="0.2">
      <c r="A463" t="s">
        <v>3</v>
      </c>
      <c r="B463" s="13">
        <v>42819</v>
      </c>
      <c r="C463" s="2" t="str">
        <f t="shared" si="91"/>
        <v>Sat</v>
      </c>
      <c r="D463" t="s">
        <v>27</v>
      </c>
      <c r="E463" t="s">
        <v>22</v>
      </c>
      <c r="F463" t="str">
        <f t="shared" si="92"/>
        <v>D</v>
      </c>
      <c r="G463">
        <f t="shared" si="93"/>
        <v>0</v>
      </c>
      <c r="H463" t="s">
        <v>32</v>
      </c>
      <c r="I463">
        <f t="shared" si="94"/>
        <v>0</v>
      </c>
      <c r="J463">
        <f t="shared" si="89"/>
        <v>4850</v>
      </c>
      <c r="K463" s="15">
        <f t="shared" si="95"/>
        <v>635</v>
      </c>
      <c r="L463" s="15">
        <f t="shared" si="96"/>
        <v>260</v>
      </c>
      <c r="M463">
        <v>11</v>
      </c>
      <c r="N463">
        <v>7</v>
      </c>
      <c r="O463">
        <v>8</v>
      </c>
      <c r="P463">
        <v>7</v>
      </c>
      <c r="Q463" s="9">
        <v>44</v>
      </c>
      <c r="R463">
        <v>14</v>
      </c>
      <c r="T463" s="11">
        <f t="shared" si="97"/>
        <v>17</v>
      </c>
      <c r="U463" s="11">
        <f t="shared" si="98"/>
        <v>17</v>
      </c>
      <c r="V463" t="str">
        <f t="shared" ref="V463:V529" si="99">IF(D463="Bolton","BL6 6JW",IF(D463="Bradford","BD8 7DY",IF(D463="Bury","BL9 9HR",IF(D463="Millwall","SE16 3LN",IF(D463="Northampton","NN5 5QA",IF(D463="Oxford","OX4 4XP",IF(D463="Rochdale","OL11 5DR",IF(D463="Scunthorpe","DN15 8TD",IF(D463="Shrewsbury","SY2 6ST",IF(D463="Southend","SS2 6NQ",IF(D463="Swindon","SN1 2ED",IF(D463="Walsall","WS1 4SA",IF(D463="Sheffield United","S2 4SU",IF(D463="Port Vale","ST6 1AW",IF(D463="Charlton","SE7 8BL",IF(D463="Oldham","OL1 2PA",IF(D463="Fleetwood Town","FY7 6TX",IF(D463="Chesterfield","S41 8NZ",IF(D463="Peterboro","PE2 8AL",IF(D463="Bristol Rvs","BS7 0BF",IF(D463="Milton Keynes Dons","MK1 1ST",IF(D463="Gillingham","ME7 4DD",IF(D463="Coventry","CV6 6GE",IF(D463="AFC Wimbledon","KT1 3PB"))))))))))))))))))))))))</f>
        <v>KT1 3PB</v>
      </c>
      <c r="W463" t="str">
        <f t="shared" ref="W463:W529" si="100">IF(E463="Bolton","BL6 6JW",IF(E463="Bradford","BD8 7DY",IF(E463="Bury","BL9 9HR",IF(E463="Millwall","SE16 3LN",IF(E463="Northampton","NN5 5QA",IF(E463="Oxford","OX4 4XP",IF(E463="Rochdale","OL11 5DR",IF(E463="Scunthorpe","DN15 8TD",IF(E463="Shrewsbury","SY2 6ST",IF(E463="Southend","SS2 6NQ",IF(E463="Swindon","SN1 2ED",IF(E463="Walsall","WS1 4SA",IF(E463="Sheffield United","S2 4SU",IF(E463="Port Vale","ST6 1AW",IF(E463="Charlton","SE7 8BL",IF(E463="Oldham","OL1 2PA",IF(E463="Fleetwood Town","FY7 6TX",IF(E463="Chesterfield","S41 8NZ",IF(E463="Peterboro","PE2 8AL",IF(E463="Bristol Rvs","BS7 0BF",IF(E463="Milton Keynes Dons","MK1 1ST",IF(E463="Gillingham","ME7 4DD",IF(E463="Coventry","CV6 6GE",IF(E463="AFC Wimbledon","KT1 3PB"))))))))))))))))))))))))</f>
        <v>SS2 6NQ</v>
      </c>
      <c r="X463" s="12">
        <v>4803</v>
      </c>
      <c r="Y463" s="15">
        <f t="shared" si="90"/>
        <v>29</v>
      </c>
    </row>
    <row r="464" spans="1:25" x14ac:dyDescent="0.2">
      <c r="A464" t="s">
        <v>3</v>
      </c>
      <c r="B464" s="13">
        <v>42819</v>
      </c>
      <c r="C464" s="2" t="str">
        <f t="shared" si="91"/>
        <v>Sat</v>
      </c>
      <c r="D464" t="s">
        <v>8</v>
      </c>
      <c r="E464" t="s">
        <v>13</v>
      </c>
      <c r="F464" t="str">
        <f t="shared" si="92"/>
        <v>D</v>
      </c>
      <c r="G464">
        <f t="shared" si="93"/>
        <v>0</v>
      </c>
      <c r="H464" t="s">
        <v>32</v>
      </c>
      <c r="I464">
        <f t="shared" si="94"/>
        <v>0</v>
      </c>
      <c r="J464">
        <f t="shared" si="89"/>
        <v>11841</v>
      </c>
      <c r="K464" s="15">
        <f t="shared" si="95"/>
        <v>210</v>
      </c>
      <c r="L464" s="15">
        <f t="shared" si="96"/>
        <v>275</v>
      </c>
      <c r="M464">
        <v>17</v>
      </c>
      <c r="N464">
        <v>3</v>
      </c>
      <c r="O464">
        <v>8</v>
      </c>
      <c r="P464">
        <v>10</v>
      </c>
      <c r="Q464" s="9">
        <v>54</v>
      </c>
      <c r="R464">
        <v>15</v>
      </c>
      <c r="T464" s="11">
        <f t="shared" si="97"/>
        <v>18</v>
      </c>
      <c r="U464" s="11">
        <f t="shared" si="98"/>
        <v>18</v>
      </c>
      <c r="V464" t="str">
        <f t="shared" si="99"/>
        <v>BL9 9HR</v>
      </c>
      <c r="W464" t="str">
        <f t="shared" si="100"/>
        <v>FY7 6TX</v>
      </c>
      <c r="X464" s="12">
        <v>4174</v>
      </c>
      <c r="Y464" s="15">
        <f t="shared" si="90"/>
        <v>22</v>
      </c>
    </row>
    <row r="465" spans="1:25" x14ac:dyDescent="0.2">
      <c r="A465" t="s">
        <v>3</v>
      </c>
      <c r="B465" s="13">
        <v>42819</v>
      </c>
      <c r="C465" s="2" t="str">
        <f t="shared" si="91"/>
        <v>Sat</v>
      </c>
      <c r="D465" t="s">
        <v>15</v>
      </c>
      <c r="E465" t="s">
        <v>16</v>
      </c>
      <c r="F465" t="str">
        <f t="shared" si="92"/>
        <v>D</v>
      </c>
      <c r="G465">
        <f t="shared" si="93"/>
        <v>0</v>
      </c>
      <c r="H465" t="s">
        <v>32</v>
      </c>
      <c r="I465">
        <f t="shared" si="94"/>
        <v>0</v>
      </c>
      <c r="J465">
        <f t="shared" si="89"/>
        <v>10504</v>
      </c>
      <c r="K465" s="15">
        <f t="shared" si="95"/>
        <v>497</v>
      </c>
      <c r="L465" s="15">
        <f t="shared" si="96"/>
        <v>345</v>
      </c>
      <c r="M465">
        <v>23</v>
      </c>
      <c r="N465">
        <v>8</v>
      </c>
      <c r="O465">
        <v>5</v>
      </c>
      <c r="P465">
        <v>6</v>
      </c>
      <c r="Q465" s="9">
        <v>85</v>
      </c>
      <c r="R465">
        <v>12</v>
      </c>
      <c r="T465" s="11">
        <f t="shared" si="97"/>
        <v>22</v>
      </c>
      <c r="U465" s="11">
        <f t="shared" si="98"/>
        <v>20</v>
      </c>
      <c r="V465" t="str">
        <f t="shared" si="99"/>
        <v>S41 8NZ</v>
      </c>
      <c r="W465" t="str">
        <f t="shared" si="100"/>
        <v>OL11 5DR</v>
      </c>
      <c r="X465" s="12">
        <v>5927</v>
      </c>
      <c r="Y465" s="15">
        <f t="shared" si="90"/>
        <v>26</v>
      </c>
    </row>
    <row r="466" spans="1:25" x14ac:dyDescent="0.2">
      <c r="A466" t="s">
        <v>3</v>
      </c>
      <c r="B466" s="13">
        <v>42819</v>
      </c>
      <c r="C466" s="2" t="str">
        <f t="shared" si="91"/>
        <v>Sat</v>
      </c>
      <c r="D466" t="s">
        <v>25</v>
      </c>
      <c r="E466" t="s">
        <v>19</v>
      </c>
      <c r="F466" t="str">
        <f t="shared" si="92"/>
        <v>D</v>
      </c>
      <c r="G466">
        <f t="shared" si="93"/>
        <v>0</v>
      </c>
      <c r="H466" t="s">
        <v>32</v>
      </c>
      <c r="I466">
        <f t="shared" si="94"/>
        <v>0</v>
      </c>
      <c r="J466">
        <f t="shared" si="89"/>
        <v>32609</v>
      </c>
      <c r="K466" s="15">
        <f t="shared" si="95"/>
        <v>1159</v>
      </c>
      <c r="L466" s="15">
        <f t="shared" si="96"/>
        <v>299</v>
      </c>
      <c r="M466">
        <v>24</v>
      </c>
      <c r="N466">
        <v>9</v>
      </c>
      <c r="O466">
        <v>9</v>
      </c>
      <c r="P466">
        <v>10</v>
      </c>
      <c r="Q466" s="9">
        <v>93</v>
      </c>
      <c r="R466">
        <v>13</v>
      </c>
      <c r="T466" s="11">
        <f t="shared" si="97"/>
        <v>22</v>
      </c>
      <c r="U466" s="11">
        <f t="shared" si="98"/>
        <v>22</v>
      </c>
      <c r="V466" t="str">
        <f t="shared" si="99"/>
        <v>CV6 6GE</v>
      </c>
      <c r="W466" t="str">
        <f t="shared" si="100"/>
        <v>BS7 0BF</v>
      </c>
      <c r="X466" s="12">
        <v>11946</v>
      </c>
      <c r="Y466" s="15">
        <f t="shared" si="90"/>
        <v>26</v>
      </c>
    </row>
    <row r="467" spans="1:25" x14ac:dyDescent="0.2">
      <c r="A467" t="s">
        <v>3</v>
      </c>
      <c r="B467" s="13">
        <v>42819</v>
      </c>
      <c r="C467" s="2" t="str">
        <f t="shared" si="91"/>
        <v>Sat</v>
      </c>
      <c r="D467" t="s">
        <v>23</v>
      </c>
      <c r="E467" t="s">
        <v>17</v>
      </c>
      <c r="F467" t="str">
        <f t="shared" si="92"/>
        <v>D</v>
      </c>
      <c r="G467">
        <f t="shared" si="93"/>
        <v>0</v>
      </c>
      <c r="H467" t="s">
        <v>32</v>
      </c>
      <c r="I467">
        <f t="shared" si="94"/>
        <v>0</v>
      </c>
      <c r="J467">
        <f t="shared" si="89"/>
        <v>11582</v>
      </c>
      <c r="K467" s="15">
        <f t="shared" si="95"/>
        <v>598</v>
      </c>
      <c r="L467" s="15">
        <f t="shared" si="96"/>
        <v>285</v>
      </c>
      <c r="M467">
        <v>18</v>
      </c>
      <c r="N467">
        <v>13</v>
      </c>
      <c r="O467">
        <v>6</v>
      </c>
      <c r="P467">
        <v>2</v>
      </c>
      <c r="Q467" s="9">
        <v>114</v>
      </c>
      <c r="R467">
        <v>15</v>
      </c>
      <c r="T467" s="11">
        <f t="shared" si="97"/>
        <v>12</v>
      </c>
      <c r="U467" s="11">
        <f t="shared" si="98"/>
        <v>10</v>
      </c>
      <c r="V467" t="str">
        <f t="shared" si="99"/>
        <v>ME7 4DD</v>
      </c>
      <c r="W467" t="str">
        <f t="shared" si="100"/>
        <v>PE2 8AL</v>
      </c>
      <c r="X467" s="12">
        <v>7561</v>
      </c>
      <c r="Y467" s="15">
        <f t="shared" si="90"/>
        <v>28</v>
      </c>
    </row>
    <row r="468" spans="1:25" x14ac:dyDescent="0.2">
      <c r="A468" t="s">
        <v>3</v>
      </c>
      <c r="B468" s="13">
        <v>42819</v>
      </c>
      <c r="C468" s="2" t="str">
        <f t="shared" si="91"/>
        <v>Sat</v>
      </c>
      <c r="D468" t="s">
        <v>12</v>
      </c>
      <c r="E468" t="s">
        <v>14</v>
      </c>
      <c r="F468" t="str">
        <f t="shared" si="92"/>
        <v>D</v>
      </c>
      <c r="G468">
        <f t="shared" si="93"/>
        <v>0</v>
      </c>
      <c r="H468" t="s">
        <v>32</v>
      </c>
      <c r="I468">
        <f t="shared" si="94"/>
        <v>0</v>
      </c>
      <c r="J468">
        <f t="shared" si="89"/>
        <v>7653</v>
      </c>
      <c r="K468" s="15">
        <f t="shared" si="95"/>
        <v>1000</v>
      </c>
      <c r="L468" s="15">
        <f t="shared" si="96"/>
        <v>249</v>
      </c>
      <c r="M468">
        <v>14</v>
      </c>
      <c r="N468">
        <v>10</v>
      </c>
      <c r="O468">
        <v>9</v>
      </c>
      <c r="P468">
        <v>6</v>
      </c>
      <c r="Q468" s="9">
        <v>43</v>
      </c>
      <c r="R468">
        <v>11</v>
      </c>
      <c r="T468" s="11">
        <f t="shared" si="97"/>
        <v>24</v>
      </c>
      <c r="U468" s="11">
        <f t="shared" si="98"/>
        <v>24</v>
      </c>
      <c r="V468" t="str">
        <f t="shared" si="99"/>
        <v>NN5 5QA</v>
      </c>
      <c r="W468" t="str">
        <f t="shared" si="100"/>
        <v>OX4 4XP</v>
      </c>
      <c r="X468" s="12">
        <v>7434</v>
      </c>
      <c r="Y468" s="15">
        <f t="shared" si="90"/>
        <v>24</v>
      </c>
    </row>
    <row r="469" spans="1:25" x14ac:dyDescent="0.2">
      <c r="A469" t="s">
        <v>3</v>
      </c>
      <c r="B469" s="13">
        <v>42819</v>
      </c>
      <c r="C469" s="2" t="str">
        <f t="shared" si="91"/>
        <v>Sat</v>
      </c>
      <c r="D469" t="s">
        <v>11</v>
      </c>
      <c r="E469" t="s">
        <v>5</v>
      </c>
      <c r="F469" t="str">
        <f t="shared" si="92"/>
        <v>D</v>
      </c>
      <c r="G469">
        <f t="shared" si="93"/>
        <v>0</v>
      </c>
      <c r="H469" t="s">
        <v>32</v>
      </c>
      <c r="I469">
        <f t="shared" si="94"/>
        <v>0</v>
      </c>
      <c r="J469">
        <f t="shared" si="89"/>
        <v>13559</v>
      </c>
      <c r="K469" s="15">
        <f t="shared" si="95"/>
        <v>1622</v>
      </c>
      <c r="L469" s="15">
        <f t="shared" si="96"/>
        <v>300</v>
      </c>
      <c r="M469">
        <v>19</v>
      </c>
      <c r="N469">
        <v>1</v>
      </c>
      <c r="O469">
        <v>8</v>
      </c>
      <c r="P469">
        <v>13</v>
      </c>
      <c r="Q469" s="9">
        <v>39</v>
      </c>
      <c r="R469">
        <v>17</v>
      </c>
      <c r="T469" s="11">
        <f t="shared" si="97"/>
        <v>22</v>
      </c>
      <c r="U469" s="11">
        <f t="shared" si="98"/>
        <v>24</v>
      </c>
      <c r="V469" t="str">
        <f t="shared" si="99"/>
        <v>OL1 2PA</v>
      </c>
      <c r="W469" t="str">
        <f t="shared" si="100"/>
        <v>S2 4SU</v>
      </c>
      <c r="X469" s="12">
        <v>8448</v>
      </c>
      <c r="Y469" s="15">
        <f t="shared" si="90"/>
        <v>24</v>
      </c>
    </row>
    <row r="470" spans="1:25" x14ac:dyDescent="0.2">
      <c r="A470" t="s">
        <v>3</v>
      </c>
      <c r="B470" s="13">
        <v>42819</v>
      </c>
      <c r="C470" s="2" t="str">
        <f t="shared" si="91"/>
        <v>Sat</v>
      </c>
      <c r="D470" t="s">
        <v>7</v>
      </c>
      <c r="E470" t="s">
        <v>21</v>
      </c>
      <c r="F470" t="str">
        <f t="shared" si="92"/>
        <v>D</v>
      </c>
      <c r="G470">
        <f t="shared" si="93"/>
        <v>0</v>
      </c>
      <c r="H470" t="s">
        <v>32</v>
      </c>
      <c r="I470">
        <f t="shared" si="94"/>
        <v>0</v>
      </c>
      <c r="J470">
        <f t="shared" si="89"/>
        <v>18947</v>
      </c>
      <c r="K470" s="15">
        <f t="shared" si="95"/>
        <v>596</v>
      </c>
      <c r="L470" s="15">
        <f t="shared" si="96"/>
        <v>345</v>
      </c>
      <c r="M470">
        <v>17</v>
      </c>
      <c r="N470">
        <v>15</v>
      </c>
      <c r="O470">
        <v>7</v>
      </c>
      <c r="P470">
        <v>5</v>
      </c>
      <c r="Q470" s="9">
        <v>116</v>
      </c>
      <c r="R470">
        <v>17</v>
      </c>
      <c r="T470" s="11">
        <f t="shared" si="97"/>
        <v>22</v>
      </c>
      <c r="U470" s="11">
        <f t="shared" si="98"/>
        <v>22</v>
      </c>
      <c r="V470" t="str">
        <f t="shared" si="99"/>
        <v>ST6 1AW</v>
      </c>
      <c r="W470" t="str">
        <f t="shared" si="100"/>
        <v>MK1 1ST</v>
      </c>
      <c r="X470" s="12">
        <v>3887</v>
      </c>
      <c r="Y470" s="15">
        <f t="shared" si="90"/>
        <v>23</v>
      </c>
    </row>
    <row r="471" spans="1:25" x14ac:dyDescent="0.2">
      <c r="A471" t="s">
        <v>3</v>
      </c>
      <c r="B471" s="13">
        <v>42819</v>
      </c>
      <c r="C471" s="2" t="str">
        <f t="shared" si="91"/>
        <v>Sat</v>
      </c>
      <c r="D471" t="s">
        <v>20</v>
      </c>
      <c r="E471" t="s">
        <v>4</v>
      </c>
      <c r="F471" t="str">
        <f t="shared" si="92"/>
        <v>D</v>
      </c>
      <c r="G471">
        <f t="shared" si="93"/>
        <v>0</v>
      </c>
      <c r="H471" t="s">
        <v>32</v>
      </c>
      <c r="I471">
        <f t="shared" si="94"/>
        <v>0</v>
      </c>
      <c r="J471">
        <f t="shared" si="89"/>
        <v>9875</v>
      </c>
      <c r="K471" s="15">
        <f t="shared" si="95"/>
        <v>912</v>
      </c>
      <c r="L471" s="15">
        <f t="shared" si="96"/>
        <v>285</v>
      </c>
      <c r="M471">
        <v>20</v>
      </c>
      <c r="N471">
        <v>2</v>
      </c>
      <c r="O471">
        <v>5</v>
      </c>
      <c r="P471">
        <v>13</v>
      </c>
      <c r="Q471" s="9">
        <v>82</v>
      </c>
      <c r="R471">
        <v>15</v>
      </c>
      <c r="T471" s="11">
        <f t="shared" si="97"/>
        <v>20</v>
      </c>
      <c r="U471" s="11">
        <f t="shared" si="98"/>
        <v>20</v>
      </c>
      <c r="V471" t="str">
        <f t="shared" si="99"/>
        <v>SY2 6ST</v>
      </c>
      <c r="W471" t="str">
        <f t="shared" si="100"/>
        <v>BL6 6JW</v>
      </c>
      <c r="X471" s="12">
        <v>7532</v>
      </c>
      <c r="Y471" s="15">
        <f t="shared" si="90"/>
        <v>22</v>
      </c>
    </row>
    <row r="472" spans="1:25" x14ac:dyDescent="0.2">
      <c r="A472" t="s">
        <v>3</v>
      </c>
      <c r="B472" s="13">
        <v>42819</v>
      </c>
      <c r="C472" s="2" t="str">
        <f t="shared" si="91"/>
        <v>Sat</v>
      </c>
      <c r="D472" t="s">
        <v>24</v>
      </c>
      <c r="E472" t="s">
        <v>10</v>
      </c>
      <c r="F472" t="str">
        <f t="shared" si="92"/>
        <v>D</v>
      </c>
      <c r="G472">
        <f t="shared" si="93"/>
        <v>0</v>
      </c>
      <c r="H472" t="s">
        <v>32</v>
      </c>
      <c r="I472">
        <f t="shared" si="94"/>
        <v>0</v>
      </c>
      <c r="J472">
        <f t="shared" si="89"/>
        <v>15728</v>
      </c>
      <c r="K472" s="15">
        <f t="shared" si="95"/>
        <v>827</v>
      </c>
      <c r="L472" s="15">
        <f t="shared" si="96"/>
        <v>345</v>
      </c>
      <c r="M472">
        <v>22</v>
      </c>
      <c r="N472">
        <v>6</v>
      </c>
      <c r="O472">
        <v>3</v>
      </c>
      <c r="P472">
        <v>9</v>
      </c>
      <c r="Q472" s="9">
        <v>85</v>
      </c>
      <c r="R472">
        <v>14</v>
      </c>
      <c r="T472" s="11">
        <f t="shared" si="97"/>
        <v>19</v>
      </c>
      <c r="U472" s="11">
        <f t="shared" si="98"/>
        <v>19</v>
      </c>
      <c r="V472" t="str">
        <f t="shared" si="99"/>
        <v>SN1 2ED</v>
      </c>
      <c r="W472" t="str">
        <f t="shared" si="100"/>
        <v>SE16 3LN</v>
      </c>
      <c r="X472" s="12">
        <v>7038</v>
      </c>
      <c r="Y472" s="15">
        <f t="shared" si="90"/>
        <v>25</v>
      </c>
    </row>
    <row r="473" spans="1:25" x14ac:dyDescent="0.2">
      <c r="A473" t="s">
        <v>3</v>
      </c>
      <c r="B473" s="13">
        <v>42820</v>
      </c>
      <c r="C473" s="2" t="str">
        <f t="shared" si="91"/>
        <v>Sun</v>
      </c>
      <c r="D473" t="s">
        <v>18</v>
      </c>
      <c r="E473" t="s">
        <v>6</v>
      </c>
      <c r="F473" t="str">
        <f t="shared" si="92"/>
        <v>D</v>
      </c>
      <c r="G473">
        <f t="shared" si="93"/>
        <v>0</v>
      </c>
      <c r="H473" t="s">
        <v>32</v>
      </c>
      <c r="I473">
        <f t="shared" si="94"/>
        <v>0</v>
      </c>
      <c r="J473">
        <f t="shared" si="89"/>
        <v>9183</v>
      </c>
      <c r="K473" s="15">
        <f t="shared" si="95"/>
        <v>1437</v>
      </c>
      <c r="L473" s="15">
        <f t="shared" si="96"/>
        <v>288</v>
      </c>
      <c r="M473">
        <v>5</v>
      </c>
      <c r="N473">
        <v>4</v>
      </c>
      <c r="O473">
        <v>3</v>
      </c>
      <c r="P473">
        <v>11</v>
      </c>
      <c r="Q473" s="9">
        <v>61</v>
      </c>
      <c r="R473">
        <v>12</v>
      </c>
      <c r="T473" s="11">
        <f t="shared" si="97"/>
        <v>18</v>
      </c>
      <c r="U473" s="11">
        <f t="shared" si="98"/>
        <v>22</v>
      </c>
      <c r="V473" t="str">
        <f t="shared" si="99"/>
        <v>DN15 8TD</v>
      </c>
      <c r="W473" t="str">
        <f t="shared" si="100"/>
        <v>BD8 7DY</v>
      </c>
      <c r="X473" s="12">
        <v>5247</v>
      </c>
      <c r="Y473" s="15">
        <f t="shared" si="90"/>
        <v>23</v>
      </c>
    </row>
    <row r="474" spans="1:25" x14ac:dyDescent="0.2">
      <c r="A474" t="s">
        <v>3</v>
      </c>
      <c r="B474" s="13">
        <v>42822</v>
      </c>
      <c r="C474" s="2" t="str">
        <f t="shared" si="91"/>
        <v>Tue</v>
      </c>
      <c r="D474" t="s">
        <v>27</v>
      </c>
      <c r="E474" t="s">
        <v>16</v>
      </c>
      <c r="F474" t="str">
        <f t="shared" si="92"/>
        <v>E</v>
      </c>
      <c r="G474">
        <f t="shared" si="93"/>
        <v>1</v>
      </c>
      <c r="H474" t="s">
        <v>32</v>
      </c>
      <c r="I474">
        <f t="shared" si="94"/>
        <v>0</v>
      </c>
      <c r="J474">
        <f t="shared" ref="J474:J529" si="101">IF(D474="AFC Wimbledon",4850,IF(D474="Bolton",28723,IF(D474="Bradford",25136,IF(D474="Bury",11841,IF(D474="Millwall",20146,IF(D474="Northampton",7653,IF(D474="Oxford",12500,IF(D474="Rochdale",10249,IF(D474="Scunthorpe",9183,IF(D474="Shrewsbury",9875,IF(D474="Southend",12392,IF(D474="Swindon",15728,IF(D474="Walsall",11300,IF(D474="Charlton",26875,IF(D474="Chesterfield",10504,IF(D474="Coventry",32609,IF(D474="Fleetwood Town",5327,IF(D474="Gillingham",11582,IF(D474="Milton Keynes Dons",30500,IF(D474="Oldham",13559,IF(D474="Peterboro",15314,IF(D474="Port Vale",18947,IF(D474="Sheffield United",32702,IF(D474="Bristol Rvs",12000))))))))))))))))))))))))</f>
        <v>4850</v>
      </c>
      <c r="K474" s="15">
        <f t="shared" si="95"/>
        <v>497</v>
      </c>
      <c r="L474" s="15">
        <f t="shared" si="96"/>
        <v>260</v>
      </c>
      <c r="M474">
        <v>12</v>
      </c>
      <c r="N474">
        <v>6</v>
      </c>
      <c r="O474">
        <v>5</v>
      </c>
      <c r="P474">
        <v>8</v>
      </c>
      <c r="Q474" s="9">
        <v>229</v>
      </c>
      <c r="R474">
        <v>12</v>
      </c>
      <c r="T474" s="11">
        <f t="shared" si="97"/>
        <v>17</v>
      </c>
      <c r="U474" s="11">
        <f t="shared" si="98"/>
        <v>17</v>
      </c>
      <c r="V474" t="str">
        <f t="shared" si="99"/>
        <v>KT1 3PB</v>
      </c>
      <c r="W474" t="str">
        <f t="shared" si="100"/>
        <v>OL11 5DR</v>
      </c>
      <c r="X474" s="12">
        <v>3812</v>
      </c>
      <c r="Y474" s="15">
        <f t="shared" si="90"/>
        <v>29</v>
      </c>
    </row>
    <row r="475" spans="1:25" x14ac:dyDescent="0.2">
      <c r="A475" t="s">
        <v>3</v>
      </c>
      <c r="B475" s="13">
        <v>42822</v>
      </c>
      <c r="C475" s="2" t="str">
        <f t="shared" si="91"/>
        <v>Tue</v>
      </c>
      <c r="D475" t="s">
        <v>14</v>
      </c>
      <c r="E475" t="s">
        <v>8</v>
      </c>
      <c r="F475" t="str">
        <f t="shared" si="92"/>
        <v>E</v>
      </c>
      <c r="G475">
        <f t="shared" si="93"/>
        <v>1</v>
      </c>
      <c r="H475" t="s">
        <v>32</v>
      </c>
      <c r="I475">
        <f t="shared" si="94"/>
        <v>0</v>
      </c>
      <c r="J475">
        <f t="shared" si="101"/>
        <v>12500</v>
      </c>
      <c r="K475" s="15">
        <f t="shared" si="95"/>
        <v>608</v>
      </c>
      <c r="L475" s="15">
        <f t="shared" si="96"/>
        <v>290</v>
      </c>
      <c r="M475">
        <v>10</v>
      </c>
      <c r="N475">
        <v>17</v>
      </c>
      <c r="O475">
        <v>7</v>
      </c>
      <c r="P475">
        <v>6</v>
      </c>
      <c r="Q475" s="9">
        <v>170</v>
      </c>
      <c r="R475">
        <v>12</v>
      </c>
      <c r="T475" s="11">
        <f t="shared" si="97"/>
        <v>20</v>
      </c>
      <c r="U475" s="11">
        <f t="shared" si="98"/>
        <v>21</v>
      </c>
      <c r="V475" t="str">
        <f t="shared" si="99"/>
        <v>OX4 4XP</v>
      </c>
      <c r="W475" t="str">
        <f t="shared" si="100"/>
        <v>BL9 9HR</v>
      </c>
      <c r="X475" s="12">
        <v>6552</v>
      </c>
      <c r="Y475" s="15">
        <f t="shared" si="90"/>
        <v>24</v>
      </c>
    </row>
    <row r="476" spans="1:25" x14ac:dyDescent="0.2">
      <c r="A476" t="s">
        <v>3</v>
      </c>
      <c r="B476" s="13">
        <v>42822</v>
      </c>
      <c r="C476" s="2" t="str">
        <f t="shared" si="91"/>
        <v>Tue</v>
      </c>
      <c r="D476" t="s">
        <v>5</v>
      </c>
      <c r="E476" t="s">
        <v>10</v>
      </c>
      <c r="F476" t="str">
        <f t="shared" si="92"/>
        <v>E</v>
      </c>
      <c r="G476">
        <f t="shared" si="93"/>
        <v>1</v>
      </c>
      <c r="H476" t="s">
        <v>32</v>
      </c>
      <c r="I476">
        <f t="shared" si="94"/>
        <v>0</v>
      </c>
      <c r="J476">
        <f t="shared" si="101"/>
        <v>32702</v>
      </c>
      <c r="K476" s="15">
        <f t="shared" si="95"/>
        <v>827</v>
      </c>
      <c r="L476" s="15">
        <f t="shared" si="96"/>
        <v>288</v>
      </c>
      <c r="M476">
        <v>1</v>
      </c>
      <c r="N476">
        <v>6</v>
      </c>
      <c r="O476">
        <v>11</v>
      </c>
      <c r="P476">
        <v>8</v>
      </c>
      <c r="Q476" s="9">
        <v>190</v>
      </c>
      <c r="R476">
        <v>12</v>
      </c>
      <c r="T476" s="11">
        <f t="shared" si="97"/>
        <v>20</v>
      </c>
      <c r="U476" s="11">
        <f t="shared" si="98"/>
        <v>20</v>
      </c>
      <c r="V476" t="str">
        <f t="shared" si="99"/>
        <v>S2 4SU</v>
      </c>
      <c r="W476" t="str">
        <f t="shared" si="100"/>
        <v>SE16 3LN</v>
      </c>
      <c r="X476" s="12">
        <v>20832</v>
      </c>
      <c r="Y476" s="15">
        <f t="shared" si="90"/>
        <v>29</v>
      </c>
    </row>
    <row r="477" spans="1:25" x14ac:dyDescent="0.2">
      <c r="A477" t="s">
        <v>3</v>
      </c>
      <c r="B477" s="13">
        <v>42826</v>
      </c>
      <c r="C477" s="2" t="str">
        <f t="shared" si="91"/>
        <v>Sat</v>
      </c>
      <c r="D477" t="s">
        <v>4</v>
      </c>
      <c r="E477" t="s">
        <v>15</v>
      </c>
      <c r="F477" t="str">
        <f t="shared" si="92"/>
        <v>D</v>
      </c>
      <c r="G477">
        <f t="shared" si="93"/>
        <v>0</v>
      </c>
      <c r="H477" t="s">
        <v>32</v>
      </c>
      <c r="I477">
        <f t="shared" si="94"/>
        <v>0</v>
      </c>
      <c r="J477">
        <f t="shared" si="101"/>
        <v>28723</v>
      </c>
      <c r="K477" s="15">
        <f t="shared" si="95"/>
        <v>583</v>
      </c>
      <c r="L477" s="15">
        <f t="shared" si="96"/>
        <v>280</v>
      </c>
      <c r="M477">
        <v>2</v>
      </c>
      <c r="N477">
        <v>23</v>
      </c>
      <c r="O477">
        <v>15</v>
      </c>
      <c r="P477">
        <v>2</v>
      </c>
      <c r="Q477" s="9">
        <v>59</v>
      </c>
      <c r="R477">
        <v>12</v>
      </c>
      <c r="T477" s="11">
        <f t="shared" si="97"/>
        <v>15</v>
      </c>
      <c r="U477" s="11">
        <f t="shared" si="98"/>
        <v>15</v>
      </c>
      <c r="V477" t="str">
        <f t="shared" si="99"/>
        <v>BL6 6JW</v>
      </c>
      <c r="W477" t="str">
        <f t="shared" si="100"/>
        <v>S41 8NZ</v>
      </c>
      <c r="X477" s="12">
        <v>23376</v>
      </c>
      <c r="Y477" s="15">
        <f t="shared" si="90"/>
        <v>30</v>
      </c>
    </row>
    <row r="478" spans="1:25" x14ac:dyDescent="0.2">
      <c r="A478" t="s">
        <v>3</v>
      </c>
      <c r="B478" s="13">
        <v>42826</v>
      </c>
      <c r="C478" s="2" t="str">
        <f t="shared" si="91"/>
        <v>Sat</v>
      </c>
      <c r="D478" t="s">
        <v>6</v>
      </c>
      <c r="E478" t="s">
        <v>26</v>
      </c>
      <c r="F478" t="str">
        <f t="shared" si="92"/>
        <v>D</v>
      </c>
      <c r="G478">
        <f t="shared" si="93"/>
        <v>0</v>
      </c>
      <c r="H478" t="s">
        <v>32</v>
      </c>
      <c r="I478">
        <f t="shared" si="94"/>
        <v>0</v>
      </c>
      <c r="J478">
        <f t="shared" si="101"/>
        <v>25136</v>
      </c>
      <c r="K478" s="15">
        <f t="shared" si="95"/>
        <v>792</v>
      </c>
      <c r="L478" s="15">
        <f t="shared" si="96"/>
        <v>149</v>
      </c>
      <c r="M478">
        <v>5</v>
      </c>
      <c r="N478">
        <v>13</v>
      </c>
      <c r="O478">
        <v>10</v>
      </c>
      <c r="P478">
        <v>7</v>
      </c>
      <c r="Q478" s="9">
        <v>118</v>
      </c>
      <c r="R478">
        <v>10</v>
      </c>
      <c r="T478" s="11">
        <f t="shared" si="97"/>
        <v>25</v>
      </c>
      <c r="U478" s="11">
        <f t="shared" si="98"/>
        <v>20</v>
      </c>
      <c r="V478" t="str">
        <f t="shared" si="99"/>
        <v>BD8 7DY</v>
      </c>
      <c r="W478" t="str">
        <f t="shared" si="100"/>
        <v>WS1 4SA</v>
      </c>
      <c r="X478" s="12">
        <v>17880</v>
      </c>
      <c r="Y478" s="15">
        <f t="shared" si="90"/>
        <v>25</v>
      </c>
    </row>
    <row r="479" spans="1:25" x14ac:dyDescent="0.2">
      <c r="A479" t="s">
        <v>3</v>
      </c>
      <c r="B479" s="13">
        <v>42826</v>
      </c>
      <c r="C479" s="2" t="str">
        <f t="shared" si="91"/>
        <v>Sat</v>
      </c>
      <c r="D479" t="s">
        <v>19</v>
      </c>
      <c r="E479" t="s">
        <v>20</v>
      </c>
      <c r="F479" t="str">
        <f t="shared" si="92"/>
        <v>D</v>
      </c>
      <c r="G479">
        <f t="shared" si="93"/>
        <v>0</v>
      </c>
      <c r="H479" t="s">
        <v>32</v>
      </c>
      <c r="I479">
        <f t="shared" si="94"/>
        <v>0</v>
      </c>
      <c r="J479">
        <f t="shared" si="101"/>
        <v>12000</v>
      </c>
      <c r="K479" s="15">
        <f t="shared" si="95"/>
        <v>438</v>
      </c>
      <c r="L479" s="15">
        <f t="shared" si="96"/>
        <v>260</v>
      </c>
      <c r="M479">
        <v>9</v>
      </c>
      <c r="N479">
        <v>21</v>
      </c>
      <c r="O479">
        <v>9</v>
      </c>
      <c r="P479">
        <v>5</v>
      </c>
      <c r="Q479" s="9">
        <v>113</v>
      </c>
      <c r="R479">
        <v>12</v>
      </c>
      <c r="T479" s="11">
        <f t="shared" si="97"/>
        <v>18</v>
      </c>
      <c r="U479" s="11">
        <f t="shared" si="98"/>
        <v>16</v>
      </c>
      <c r="V479" t="str">
        <f t="shared" si="99"/>
        <v>BS7 0BF</v>
      </c>
      <c r="W479" t="str">
        <f t="shared" si="100"/>
        <v>SY2 6ST</v>
      </c>
      <c r="X479" s="12">
        <v>9498</v>
      </c>
      <c r="Y479" s="15">
        <f t="shared" si="90"/>
        <v>26</v>
      </c>
    </row>
    <row r="480" spans="1:25" x14ac:dyDescent="0.2">
      <c r="A480" t="s">
        <v>3</v>
      </c>
      <c r="B480" s="13">
        <v>42826</v>
      </c>
      <c r="C480" s="2" t="str">
        <f t="shared" si="91"/>
        <v>Sat</v>
      </c>
      <c r="D480" t="s">
        <v>13</v>
      </c>
      <c r="E480" t="s">
        <v>24</v>
      </c>
      <c r="F480" t="str">
        <f t="shared" si="92"/>
        <v>D</v>
      </c>
      <c r="G480">
        <f t="shared" si="93"/>
        <v>0</v>
      </c>
      <c r="H480" t="s">
        <v>32</v>
      </c>
      <c r="I480">
        <f t="shared" si="94"/>
        <v>0</v>
      </c>
      <c r="J480">
        <f t="shared" si="101"/>
        <v>5327</v>
      </c>
      <c r="K480" s="15">
        <f t="shared" si="95"/>
        <v>503</v>
      </c>
      <c r="L480" s="15">
        <f t="shared" si="96"/>
        <v>210</v>
      </c>
      <c r="M480">
        <v>3</v>
      </c>
      <c r="N480">
        <v>22</v>
      </c>
      <c r="O480">
        <v>8</v>
      </c>
      <c r="P480">
        <v>3</v>
      </c>
      <c r="Q480" s="9">
        <v>209</v>
      </c>
      <c r="R480">
        <v>10</v>
      </c>
      <c r="T480" s="11">
        <f t="shared" si="97"/>
        <v>21.5</v>
      </c>
      <c r="U480" s="11">
        <f t="shared" si="98"/>
        <v>21.5</v>
      </c>
      <c r="V480" t="str">
        <f t="shared" si="99"/>
        <v>FY7 6TX</v>
      </c>
      <c r="W480" t="str">
        <f t="shared" si="100"/>
        <v>SN1 2ED</v>
      </c>
      <c r="X480" s="12">
        <v>3128</v>
      </c>
      <c r="Y480" s="15">
        <f t="shared" si="90"/>
        <v>23.5</v>
      </c>
    </row>
    <row r="481" spans="1:25" x14ac:dyDescent="0.2">
      <c r="A481" t="s">
        <v>3</v>
      </c>
      <c r="B481" s="13">
        <v>42826</v>
      </c>
      <c r="C481" s="2" t="str">
        <f t="shared" si="91"/>
        <v>Sat</v>
      </c>
      <c r="D481" t="s">
        <v>10</v>
      </c>
      <c r="E481" t="s">
        <v>18</v>
      </c>
      <c r="F481" t="str">
        <f t="shared" si="92"/>
        <v>D</v>
      </c>
      <c r="G481">
        <f t="shared" si="93"/>
        <v>0</v>
      </c>
      <c r="H481" t="s">
        <v>32</v>
      </c>
      <c r="I481">
        <f t="shared" si="94"/>
        <v>0</v>
      </c>
      <c r="J481">
        <f t="shared" si="101"/>
        <v>20146</v>
      </c>
      <c r="K481" s="15">
        <f t="shared" si="95"/>
        <v>508</v>
      </c>
      <c r="L481" s="15">
        <f t="shared" si="96"/>
        <v>333</v>
      </c>
      <c r="M481">
        <v>7</v>
      </c>
      <c r="N481">
        <v>4</v>
      </c>
      <c r="O481">
        <v>7</v>
      </c>
      <c r="P481">
        <v>6</v>
      </c>
      <c r="Q481" s="9">
        <v>180</v>
      </c>
      <c r="R481">
        <v>16</v>
      </c>
      <c r="T481" s="11">
        <f t="shared" si="97"/>
        <v>22</v>
      </c>
      <c r="U481" s="11">
        <f t="shared" si="98"/>
        <v>23</v>
      </c>
      <c r="V481" t="str">
        <f t="shared" si="99"/>
        <v>SE16 3LN</v>
      </c>
      <c r="W481" t="str">
        <f t="shared" si="100"/>
        <v>DN15 8TD</v>
      </c>
      <c r="X481" s="12">
        <v>9789</v>
      </c>
      <c r="Y481" s="15">
        <f t="shared" si="90"/>
        <v>30</v>
      </c>
    </row>
    <row r="482" spans="1:25" x14ac:dyDescent="0.2">
      <c r="A482" t="s">
        <v>3</v>
      </c>
      <c r="B482" s="13">
        <v>42826</v>
      </c>
      <c r="C482" s="2" t="str">
        <f t="shared" si="91"/>
        <v>Sat</v>
      </c>
      <c r="D482" t="s">
        <v>21</v>
      </c>
      <c r="E482" t="s">
        <v>23</v>
      </c>
      <c r="F482" t="str">
        <f t="shared" si="92"/>
        <v>D</v>
      </c>
      <c r="G482">
        <f t="shared" si="93"/>
        <v>0</v>
      </c>
      <c r="H482" t="s">
        <v>32</v>
      </c>
      <c r="I482">
        <f t="shared" si="94"/>
        <v>0</v>
      </c>
      <c r="J482">
        <f t="shared" si="101"/>
        <v>30500</v>
      </c>
      <c r="K482" s="15">
        <f t="shared" si="95"/>
        <v>533</v>
      </c>
      <c r="L482" s="15">
        <f t="shared" si="96"/>
        <v>312</v>
      </c>
      <c r="M482">
        <v>14</v>
      </c>
      <c r="N482">
        <v>19</v>
      </c>
      <c r="O482">
        <v>7</v>
      </c>
      <c r="P482">
        <v>6</v>
      </c>
      <c r="Q482" s="9">
        <v>95</v>
      </c>
      <c r="R482">
        <v>14</v>
      </c>
      <c r="T482" s="11">
        <f t="shared" si="97"/>
        <v>22</v>
      </c>
      <c r="U482" s="11">
        <f t="shared" si="98"/>
        <v>22</v>
      </c>
      <c r="V482" t="str">
        <f t="shared" si="99"/>
        <v>MK1 1ST</v>
      </c>
      <c r="W482" t="str">
        <f t="shared" si="100"/>
        <v>ME7 4DD</v>
      </c>
      <c r="X482" s="12">
        <v>8807</v>
      </c>
      <c r="Y482" s="15">
        <f t="shared" si="90"/>
        <v>27</v>
      </c>
    </row>
    <row r="483" spans="1:25" x14ac:dyDescent="0.2">
      <c r="A483" t="s">
        <v>3</v>
      </c>
      <c r="B483" s="13">
        <v>42826</v>
      </c>
      <c r="C483" s="2" t="str">
        <f t="shared" si="91"/>
        <v>Sat</v>
      </c>
      <c r="D483" t="s">
        <v>17</v>
      </c>
      <c r="E483" t="s">
        <v>9</v>
      </c>
      <c r="F483" t="str">
        <f t="shared" si="92"/>
        <v>D</v>
      </c>
      <c r="G483">
        <f t="shared" si="93"/>
        <v>0</v>
      </c>
      <c r="H483" t="s">
        <v>32</v>
      </c>
      <c r="I483">
        <f t="shared" si="94"/>
        <v>0</v>
      </c>
      <c r="J483">
        <f t="shared" si="101"/>
        <v>15314</v>
      </c>
      <c r="K483" s="15">
        <f t="shared" si="95"/>
        <v>680</v>
      </c>
      <c r="L483" s="15">
        <f t="shared" si="96"/>
        <v>295</v>
      </c>
      <c r="M483">
        <v>11</v>
      </c>
      <c r="N483">
        <v>16</v>
      </c>
      <c r="O483">
        <v>5</v>
      </c>
      <c r="P483">
        <v>5</v>
      </c>
      <c r="Q483" s="9">
        <v>95</v>
      </c>
      <c r="R483">
        <v>9</v>
      </c>
      <c r="T483" s="11">
        <f t="shared" si="97"/>
        <v>21</v>
      </c>
      <c r="U483" s="11">
        <f t="shared" si="98"/>
        <v>20</v>
      </c>
      <c r="V483" t="str">
        <f t="shared" si="99"/>
        <v>PE2 8AL</v>
      </c>
      <c r="W483" t="str">
        <f t="shared" si="100"/>
        <v>SE7 8BL</v>
      </c>
      <c r="X483" s="12">
        <v>5482</v>
      </c>
      <c r="Y483" s="15">
        <f t="shared" si="90"/>
        <v>26</v>
      </c>
    </row>
    <row r="484" spans="1:25" x14ac:dyDescent="0.2">
      <c r="A484" t="s">
        <v>3</v>
      </c>
      <c r="B484" s="13">
        <v>42826</v>
      </c>
      <c r="C484" s="2" t="str">
        <f t="shared" si="91"/>
        <v>Sat</v>
      </c>
      <c r="D484" t="s">
        <v>7</v>
      </c>
      <c r="E484" t="s">
        <v>27</v>
      </c>
      <c r="F484" t="str">
        <f t="shared" si="92"/>
        <v>D</v>
      </c>
      <c r="G484">
        <f t="shared" si="93"/>
        <v>0</v>
      </c>
      <c r="H484" t="s">
        <v>32</v>
      </c>
      <c r="I484">
        <f t="shared" si="94"/>
        <v>0</v>
      </c>
      <c r="J484">
        <f t="shared" si="101"/>
        <v>18947</v>
      </c>
      <c r="K484" s="15">
        <f t="shared" si="95"/>
        <v>622</v>
      </c>
      <c r="L484" s="15">
        <f t="shared" si="96"/>
        <v>345</v>
      </c>
      <c r="M484">
        <v>20</v>
      </c>
      <c r="N484">
        <v>12</v>
      </c>
      <c r="O484">
        <v>10</v>
      </c>
      <c r="P484">
        <v>7</v>
      </c>
      <c r="Q484" s="9">
        <v>189</v>
      </c>
      <c r="R484">
        <v>12</v>
      </c>
      <c r="T484" s="11">
        <f t="shared" si="97"/>
        <v>22</v>
      </c>
      <c r="U484" s="11">
        <f t="shared" si="98"/>
        <v>22</v>
      </c>
      <c r="V484" t="str">
        <f t="shared" si="99"/>
        <v>ST6 1AW</v>
      </c>
      <c r="W484" t="str">
        <f t="shared" si="100"/>
        <v>KT1 3PB</v>
      </c>
      <c r="X484" s="12">
        <v>4308</v>
      </c>
      <c r="Y484" s="15">
        <f t="shared" si="90"/>
        <v>23</v>
      </c>
    </row>
    <row r="485" spans="1:25" x14ac:dyDescent="0.2">
      <c r="A485" t="s">
        <v>3</v>
      </c>
      <c r="B485" s="13">
        <v>42826</v>
      </c>
      <c r="C485" s="2" t="str">
        <f t="shared" si="91"/>
        <v>Sat</v>
      </c>
      <c r="D485" t="s">
        <v>16</v>
      </c>
      <c r="E485" t="s">
        <v>12</v>
      </c>
      <c r="F485" t="str">
        <f t="shared" si="92"/>
        <v>D</v>
      </c>
      <c r="G485">
        <f t="shared" si="93"/>
        <v>0</v>
      </c>
      <c r="H485" t="s">
        <v>32</v>
      </c>
      <c r="I485">
        <f t="shared" si="94"/>
        <v>0</v>
      </c>
      <c r="J485">
        <f t="shared" si="101"/>
        <v>10249</v>
      </c>
      <c r="K485" s="15">
        <f t="shared" si="95"/>
        <v>843</v>
      </c>
      <c r="L485" s="15">
        <f t="shared" si="96"/>
        <v>290</v>
      </c>
      <c r="M485">
        <v>8</v>
      </c>
      <c r="N485">
        <v>15</v>
      </c>
      <c r="O485">
        <v>7</v>
      </c>
      <c r="P485">
        <v>7</v>
      </c>
      <c r="Q485" s="9">
        <v>160</v>
      </c>
      <c r="R485">
        <v>12</v>
      </c>
      <c r="T485" s="11">
        <f t="shared" si="97"/>
        <v>17</v>
      </c>
      <c r="U485" s="11">
        <f t="shared" si="98"/>
        <v>22</v>
      </c>
      <c r="V485" t="str">
        <f t="shared" si="99"/>
        <v>OL11 5DR</v>
      </c>
      <c r="W485" t="str">
        <f t="shared" si="100"/>
        <v>NN5 5QA</v>
      </c>
      <c r="X485" s="12">
        <v>2939</v>
      </c>
      <c r="Y485" s="15">
        <f t="shared" si="90"/>
        <v>22</v>
      </c>
    </row>
    <row r="486" spans="1:25" x14ac:dyDescent="0.2">
      <c r="A486" t="s">
        <v>3</v>
      </c>
      <c r="B486" s="13">
        <v>42826</v>
      </c>
      <c r="C486" s="2" t="str">
        <f t="shared" si="91"/>
        <v>Sat</v>
      </c>
      <c r="D486" t="s">
        <v>22</v>
      </c>
      <c r="E486" t="s">
        <v>11</v>
      </c>
      <c r="F486" t="str">
        <f t="shared" si="92"/>
        <v>D</v>
      </c>
      <c r="G486">
        <f t="shared" si="93"/>
        <v>0</v>
      </c>
      <c r="H486" t="s">
        <v>32</v>
      </c>
      <c r="I486">
        <f t="shared" si="94"/>
        <v>0</v>
      </c>
      <c r="J486">
        <f t="shared" si="101"/>
        <v>12392</v>
      </c>
      <c r="K486" s="15">
        <f t="shared" si="95"/>
        <v>729</v>
      </c>
      <c r="L486" s="15">
        <f t="shared" si="96"/>
        <v>395</v>
      </c>
      <c r="M486">
        <v>6</v>
      </c>
      <c r="N486">
        <v>18</v>
      </c>
      <c r="O486">
        <v>10</v>
      </c>
      <c r="P486">
        <v>6</v>
      </c>
      <c r="Q486" s="9">
        <v>189</v>
      </c>
      <c r="R486">
        <v>16</v>
      </c>
      <c r="T486" s="11">
        <f t="shared" si="97"/>
        <v>25</v>
      </c>
      <c r="U486" s="11">
        <f t="shared" si="98"/>
        <v>22</v>
      </c>
      <c r="V486" t="str">
        <f t="shared" si="99"/>
        <v>SS2 6NQ</v>
      </c>
      <c r="W486" t="str">
        <f t="shared" si="100"/>
        <v>OL1 2PA</v>
      </c>
      <c r="X486" s="12">
        <v>7617</v>
      </c>
      <c r="Y486" s="15">
        <f t="shared" si="90"/>
        <v>25</v>
      </c>
    </row>
    <row r="487" spans="1:25" x14ac:dyDescent="0.2">
      <c r="A487" t="s">
        <v>3</v>
      </c>
      <c r="B487" s="13">
        <v>42829</v>
      </c>
      <c r="C487" s="2" t="str">
        <f t="shared" si="91"/>
        <v>Tue</v>
      </c>
      <c r="D487" t="s">
        <v>9</v>
      </c>
      <c r="E487" t="s">
        <v>21</v>
      </c>
      <c r="F487" t="str">
        <f t="shared" si="92"/>
        <v>E</v>
      </c>
      <c r="G487">
        <f t="shared" si="93"/>
        <v>1</v>
      </c>
      <c r="H487" t="s">
        <v>32</v>
      </c>
      <c r="I487">
        <f t="shared" si="94"/>
        <v>0</v>
      </c>
      <c r="J487">
        <f t="shared" si="101"/>
        <v>26875</v>
      </c>
      <c r="K487" s="15">
        <f t="shared" si="95"/>
        <v>596</v>
      </c>
      <c r="L487" s="15">
        <f t="shared" si="96"/>
        <v>175</v>
      </c>
      <c r="M487">
        <v>16</v>
      </c>
      <c r="N487">
        <v>15</v>
      </c>
      <c r="O487">
        <v>2</v>
      </c>
      <c r="P487">
        <v>8</v>
      </c>
      <c r="Q487" s="9">
        <v>89</v>
      </c>
      <c r="R487">
        <v>11</v>
      </c>
      <c r="T487" s="11">
        <f t="shared" si="97"/>
        <v>20</v>
      </c>
      <c r="U487" s="11">
        <f t="shared" si="98"/>
        <v>20</v>
      </c>
      <c r="V487" t="str">
        <f t="shared" si="99"/>
        <v>SE7 8BL</v>
      </c>
      <c r="W487" t="str">
        <f t="shared" si="100"/>
        <v>MK1 1ST</v>
      </c>
      <c r="X487" s="12">
        <v>10943</v>
      </c>
      <c r="Y487" s="15">
        <f t="shared" si="90"/>
        <v>35</v>
      </c>
    </row>
    <row r="488" spans="1:25" x14ac:dyDescent="0.2">
      <c r="A488" t="s">
        <v>3</v>
      </c>
      <c r="B488" s="13">
        <v>42829</v>
      </c>
      <c r="C488" s="2" t="str">
        <f t="shared" si="91"/>
        <v>Tue</v>
      </c>
      <c r="D488" t="s">
        <v>16</v>
      </c>
      <c r="E488" t="s">
        <v>7</v>
      </c>
      <c r="F488" t="str">
        <f t="shared" si="92"/>
        <v>E</v>
      </c>
      <c r="G488">
        <f t="shared" si="93"/>
        <v>1</v>
      </c>
      <c r="H488" t="s">
        <v>32</v>
      </c>
      <c r="I488">
        <f t="shared" si="94"/>
        <v>0</v>
      </c>
      <c r="J488">
        <f t="shared" si="101"/>
        <v>10249</v>
      </c>
      <c r="K488" s="15">
        <f t="shared" si="95"/>
        <v>697</v>
      </c>
      <c r="L488" s="15">
        <f t="shared" si="96"/>
        <v>290</v>
      </c>
      <c r="M488">
        <v>10</v>
      </c>
      <c r="N488">
        <v>21</v>
      </c>
      <c r="O488">
        <v>8</v>
      </c>
      <c r="P488">
        <v>7</v>
      </c>
      <c r="Q488" s="9">
        <v>58</v>
      </c>
      <c r="R488">
        <v>10</v>
      </c>
      <c r="T488" s="11">
        <f t="shared" si="97"/>
        <v>17</v>
      </c>
      <c r="U488" s="11">
        <f t="shared" si="98"/>
        <v>22</v>
      </c>
      <c r="V488" t="str">
        <f t="shared" si="99"/>
        <v>OL11 5DR</v>
      </c>
      <c r="W488" t="str">
        <f t="shared" si="100"/>
        <v>ST6 1AW</v>
      </c>
      <c r="X488" s="12">
        <v>4387</v>
      </c>
      <c r="Y488" s="15">
        <f t="shared" si="90"/>
        <v>22</v>
      </c>
    </row>
    <row r="489" spans="1:25" x14ac:dyDescent="0.2">
      <c r="A489" t="s">
        <v>3</v>
      </c>
      <c r="B489" s="13">
        <v>42829</v>
      </c>
      <c r="C489" s="2" t="str">
        <f t="shared" si="91"/>
        <v>Tue</v>
      </c>
      <c r="D489" t="s">
        <v>20</v>
      </c>
      <c r="E489" t="s">
        <v>10</v>
      </c>
      <c r="F489" t="str">
        <f t="shared" si="92"/>
        <v>E</v>
      </c>
      <c r="G489">
        <f t="shared" si="93"/>
        <v>1</v>
      </c>
      <c r="H489" t="s">
        <v>32</v>
      </c>
      <c r="I489">
        <f t="shared" si="94"/>
        <v>0</v>
      </c>
      <c r="J489">
        <f t="shared" si="101"/>
        <v>9875</v>
      </c>
      <c r="K489" s="15">
        <f t="shared" si="95"/>
        <v>827</v>
      </c>
      <c r="L489" s="15">
        <f t="shared" si="96"/>
        <v>285</v>
      </c>
      <c r="M489">
        <v>18</v>
      </c>
      <c r="N489">
        <v>6</v>
      </c>
      <c r="O489">
        <v>2</v>
      </c>
      <c r="P489">
        <v>5</v>
      </c>
      <c r="Q489" s="9">
        <v>166</v>
      </c>
      <c r="R489">
        <v>8</v>
      </c>
      <c r="T489" s="11">
        <f t="shared" si="97"/>
        <v>20</v>
      </c>
      <c r="U489" s="11">
        <f t="shared" si="98"/>
        <v>20</v>
      </c>
      <c r="V489" t="str">
        <f t="shared" si="99"/>
        <v>SY2 6ST</v>
      </c>
      <c r="W489" t="str">
        <f t="shared" si="100"/>
        <v>SE16 3LN</v>
      </c>
      <c r="X489" s="12">
        <v>4712</v>
      </c>
      <c r="Y489" s="15">
        <f t="shared" si="90"/>
        <v>22</v>
      </c>
    </row>
    <row r="490" spans="1:25" x14ac:dyDescent="0.2">
      <c r="A490" t="s">
        <v>3</v>
      </c>
      <c r="B490" s="13">
        <v>42829</v>
      </c>
      <c r="C490" s="2" t="str">
        <f t="shared" si="91"/>
        <v>Tue</v>
      </c>
      <c r="D490" t="s">
        <v>22</v>
      </c>
      <c r="E490" t="s">
        <v>4</v>
      </c>
      <c r="F490" t="str">
        <f t="shared" si="92"/>
        <v>E</v>
      </c>
      <c r="G490">
        <f t="shared" si="93"/>
        <v>1</v>
      </c>
      <c r="H490" t="s">
        <v>32</v>
      </c>
      <c r="I490">
        <f t="shared" si="94"/>
        <v>0</v>
      </c>
      <c r="J490">
        <f t="shared" si="101"/>
        <v>12392</v>
      </c>
      <c r="K490" s="15">
        <f t="shared" si="95"/>
        <v>912</v>
      </c>
      <c r="L490" s="15">
        <f t="shared" si="96"/>
        <v>395</v>
      </c>
      <c r="M490">
        <v>7</v>
      </c>
      <c r="N490">
        <v>2</v>
      </c>
      <c r="O490">
        <v>12</v>
      </c>
      <c r="P490">
        <v>13</v>
      </c>
      <c r="Q490" s="9">
        <v>188</v>
      </c>
      <c r="R490">
        <v>11</v>
      </c>
      <c r="T490" s="11">
        <f t="shared" si="97"/>
        <v>25</v>
      </c>
      <c r="U490" s="11">
        <f t="shared" si="98"/>
        <v>22</v>
      </c>
      <c r="V490" t="str">
        <f t="shared" si="99"/>
        <v>SS2 6NQ</v>
      </c>
      <c r="W490" t="str">
        <f t="shared" si="100"/>
        <v>BL6 6JW</v>
      </c>
      <c r="X490" s="12">
        <v>9340</v>
      </c>
      <c r="Y490" s="15">
        <f t="shared" si="90"/>
        <v>25</v>
      </c>
    </row>
    <row r="491" spans="1:25" x14ac:dyDescent="0.2">
      <c r="A491" t="s">
        <v>3</v>
      </c>
      <c r="B491" s="13">
        <v>42830</v>
      </c>
      <c r="C491" s="2" t="str">
        <f t="shared" si="91"/>
        <v>Wed</v>
      </c>
      <c r="D491" t="s">
        <v>14</v>
      </c>
      <c r="E491" t="s">
        <v>13</v>
      </c>
      <c r="F491" t="str">
        <f t="shared" si="92"/>
        <v>E</v>
      </c>
      <c r="G491">
        <f t="shared" si="93"/>
        <v>1</v>
      </c>
      <c r="H491" t="s">
        <v>32</v>
      </c>
      <c r="I491">
        <f t="shared" si="94"/>
        <v>0</v>
      </c>
      <c r="J491">
        <f t="shared" si="101"/>
        <v>12500</v>
      </c>
      <c r="K491" s="15">
        <f t="shared" si="95"/>
        <v>210</v>
      </c>
      <c r="L491" s="15">
        <f t="shared" si="96"/>
        <v>290</v>
      </c>
      <c r="M491">
        <v>9</v>
      </c>
      <c r="N491">
        <v>4</v>
      </c>
      <c r="O491">
        <v>7</v>
      </c>
      <c r="P491">
        <v>5</v>
      </c>
      <c r="Q491" s="9">
        <v>204</v>
      </c>
      <c r="R491">
        <v>10</v>
      </c>
      <c r="T491" s="11">
        <f t="shared" si="97"/>
        <v>20</v>
      </c>
      <c r="U491" s="11">
        <f t="shared" si="98"/>
        <v>21</v>
      </c>
      <c r="V491" t="str">
        <f t="shared" si="99"/>
        <v>OX4 4XP</v>
      </c>
      <c r="W491" t="str">
        <f t="shared" si="100"/>
        <v>FY7 6TX</v>
      </c>
      <c r="X491" s="12">
        <v>6728</v>
      </c>
      <c r="Y491" s="15">
        <f t="shared" si="90"/>
        <v>24</v>
      </c>
    </row>
    <row r="492" spans="1:25" x14ac:dyDescent="0.2">
      <c r="A492" t="s">
        <v>3</v>
      </c>
      <c r="B492" s="13">
        <v>42830</v>
      </c>
      <c r="C492" s="2" t="str">
        <f t="shared" si="91"/>
        <v>Wed</v>
      </c>
      <c r="D492" t="s">
        <v>5</v>
      </c>
      <c r="E492" t="s">
        <v>25</v>
      </c>
      <c r="F492" t="str">
        <f t="shared" si="92"/>
        <v>E</v>
      </c>
      <c r="G492">
        <f t="shared" si="93"/>
        <v>1</v>
      </c>
      <c r="H492" t="s">
        <v>32</v>
      </c>
      <c r="I492">
        <f t="shared" si="94"/>
        <v>0</v>
      </c>
      <c r="J492">
        <f t="shared" si="101"/>
        <v>32702</v>
      </c>
      <c r="K492" s="15">
        <f t="shared" si="95"/>
        <v>1280</v>
      </c>
      <c r="L492" s="15">
        <f t="shared" si="96"/>
        <v>288</v>
      </c>
      <c r="M492">
        <v>1</v>
      </c>
      <c r="N492">
        <v>24</v>
      </c>
      <c r="O492">
        <v>13</v>
      </c>
      <c r="P492">
        <v>4</v>
      </c>
      <c r="Q492" s="9">
        <v>91</v>
      </c>
      <c r="R492">
        <v>9</v>
      </c>
      <c r="T492" s="11">
        <f t="shared" si="97"/>
        <v>20</v>
      </c>
      <c r="U492" s="11">
        <f t="shared" si="98"/>
        <v>20</v>
      </c>
      <c r="V492" t="str">
        <f t="shared" si="99"/>
        <v>S2 4SU</v>
      </c>
      <c r="W492" t="str">
        <f t="shared" si="100"/>
        <v>CV6 6GE</v>
      </c>
      <c r="X492" s="12">
        <v>24334</v>
      </c>
      <c r="Y492" s="15">
        <f t="shared" si="90"/>
        <v>29</v>
      </c>
    </row>
    <row r="493" spans="1:25" x14ac:dyDescent="0.2">
      <c r="A493" t="s">
        <v>3</v>
      </c>
      <c r="B493" s="13">
        <v>42833</v>
      </c>
      <c r="C493" s="2" t="str">
        <f t="shared" si="91"/>
        <v>Sat</v>
      </c>
      <c r="D493" t="s">
        <v>27</v>
      </c>
      <c r="E493" t="s">
        <v>19</v>
      </c>
      <c r="F493" t="str">
        <f t="shared" si="92"/>
        <v>D</v>
      </c>
      <c r="G493">
        <f t="shared" si="93"/>
        <v>0</v>
      </c>
      <c r="H493" t="s">
        <v>32</v>
      </c>
      <c r="I493">
        <f t="shared" si="94"/>
        <v>0</v>
      </c>
      <c r="J493">
        <f t="shared" si="101"/>
        <v>4850</v>
      </c>
      <c r="K493" s="15">
        <f t="shared" si="95"/>
        <v>1159</v>
      </c>
      <c r="L493" s="15">
        <f t="shared" si="96"/>
        <v>260</v>
      </c>
      <c r="M493">
        <v>13</v>
      </c>
      <c r="N493">
        <v>9</v>
      </c>
      <c r="O493">
        <v>7</v>
      </c>
      <c r="P493">
        <v>9</v>
      </c>
      <c r="Q493" s="9">
        <v>123</v>
      </c>
      <c r="R493">
        <v>20</v>
      </c>
      <c r="T493" s="11">
        <f t="shared" si="97"/>
        <v>17</v>
      </c>
      <c r="U493" s="11">
        <f t="shared" si="98"/>
        <v>17</v>
      </c>
      <c r="V493" t="str">
        <f t="shared" si="99"/>
        <v>KT1 3PB</v>
      </c>
      <c r="W493" t="str">
        <f t="shared" si="100"/>
        <v>BS7 0BF</v>
      </c>
      <c r="X493" s="12">
        <v>4742</v>
      </c>
      <c r="Y493" s="15">
        <f t="shared" si="90"/>
        <v>29</v>
      </c>
    </row>
    <row r="494" spans="1:25" x14ac:dyDescent="0.2">
      <c r="A494" t="s">
        <v>3</v>
      </c>
      <c r="B494" s="13">
        <v>42833</v>
      </c>
      <c r="C494" s="2" t="str">
        <f t="shared" si="91"/>
        <v>Sat</v>
      </c>
      <c r="D494" t="s">
        <v>8</v>
      </c>
      <c r="E494" t="s">
        <v>6</v>
      </c>
      <c r="F494" t="str">
        <f t="shared" si="92"/>
        <v>D</v>
      </c>
      <c r="G494">
        <f t="shared" si="93"/>
        <v>0</v>
      </c>
      <c r="H494" t="s">
        <v>32</v>
      </c>
      <c r="I494">
        <f t="shared" si="94"/>
        <v>0</v>
      </c>
      <c r="J494">
        <f t="shared" si="101"/>
        <v>11841</v>
      </c>
      <c r="K494" s="15">
        <f t="shared" si="95"/>
        <v>1437</v>
      </c>
      <c r="L494" s="15">
        <f t="shared" si="96"/>
        <v>275</v>
      </c>
      <c r="M494">
        <v>18</v>
      </c>
      <c r="N494">
        <v>4</v>
      </c>
      <c r="O494">
        <v>6</v>
      </c>
      <c r="P494">
        <v>10</v>
      </c>
      <c r="Q494" s="9">
        <v>40</v>
      </c>
      <c r="R494">
        <v>17</v>
      </c>
      <c r="T494" s="11">
        <f t="shared" si="97"/>
        <v>18</v>
      </c>
      <c r="U494" s="11">
        <f t="shared" si="98"/>
        <v>18</v>
      </c>
      <c r="V494" t="str">
        <f t="shared" si="99"/>
        <v>BL9 9HR</v>
      </c>
      <c r="W494" t="str">
        <f t="shared" si="100"/>
        <v>BD8 7DY</v>
      </c>
      <c r="X494" s="12">
        <v>5268</v>
      </c>
      <c r="Y494" s="15">
        <f t="shared" si="90"/>
        <v>22</v>
      </c>
    </row>
    <row r="495" spans="1:25" x14ac:dyDescent="0.2">
      <c r="A495" t="s">
        <v>3</v>
      </c>
      <c r="B495" s="13">
        <v>42833</v>
      </c>
      <c r="C495" s="2" t="str">
        <f t="shared" si="91"/>
        <v>Sat</v>
      </c>
      <c r="D495" t="s">
        <v>9</v>
      </c>
      <c r="E495" t="s">
        <v>22</v>
      </c>
      <c r="F495" t="str">
        <f t="shared" si="92"/>
        <v>D</v>
      </c>
      <c r="G495">
        <f t="shared" si="93"/>
        <v>0</v>
      </c>
      <c r="H495" t="s">
        <v>32</v>
      </c>
      <c r="I495">
        <f t="shared" si="94"/>
        <v>0</v>
      </c>
      <c r="J495">
        <f t="shared" si="101"/>
        <v>26875</v>
      </c>
      <c r="K495" s="15">
        <f t="shared" si="95"/>
        <v>635</v>
      </c>
      <c r="L495" s="15">
        <f t="shared" si="96"/>
        <v>175</v>
      </c>
      <c r="M495">
        <v>17</v>
      </c>
      <c r="N495">
        <v>6</v>
      </c>
      <c r="O495">
        <v>2</v>
      </c>
      <c r="P495">
        <v>12</v>
      </c>
      <c r="Q495" s="9">
        <v>106</v>
      </c>
      <c r="R495">
        <v>20</v>
      </c>
      <c r="T495" s="11">
        <f t="shared" si="97"/>
        <v>20</v>
      </c>
      <c r="U495" s="11">
        <f t="shared" si="98"/>
        <v>20</v>
      </c>
      <c r="V495" t="str">
        <f t="shared" si="99"/>
        <v>SE7 8BL</v>
      </c>
      <c r="W495" t="str">
        <f t="shared" si="100"/>
        <v>SS2 6NQ</v>
      </c>
      <c r="X495" s="12">
        <v>11730</v>
      </c>
      <c r="Y495" s="15">
        <f t="shared" si="90"/>
        <v>35</v>
      </c>
    </row>
    <row r="496" spans="1:25" x14ac:dyDescent="0.2">
      <c r="A496" t="s">
        <v>3</v>
      </c>
      <c r="B496" s="13">
        <v>42833</v>
      </c>
      <c r="C496" s="2" t="str">
        <f t="shared" si="91"/>
        <v>Sat</v>
      </c>
      <c r="D496" t="s">
        <v>15</v>
      </c>
      <c r="E496" t="s">
        <v>7</v>
      </c>
      <c r="F496" t="str">
        <f t="shared" si="92"/>
        <v>D</v>
      </c>
      <c r="G496">
        <f t="shared" si="93"/>
        <v>0</v>
      </c>
      <c r="H496" t="s">
        <v>32</v>
      </c>
      <c r="I496">
        <f t="shared" si="94"/>
        <v>0</v>
      </c>
      <c r="J496">
        <f t="shared" si="101"/>
        <v>10504</v>
      </c>
      <c r="K496" s="15">
        <f t="shared" si="95"/>
        <v>697</v>
      </c>
      <c r="L496" s="15">
        <f t="shared" si="96"/>
        <v>345</v>
      </c>
      <c r="M496">
        <v>23</v>
      </c>
      <c r="N496">
        <v>16</v>
      </c>
      <c r="O496">
        <v>3</v>
      </c>
      <c r="P496">
        <v>4</v>
      </c>
      <c r="Q496" s="9">
        <v>41</v>
      </c>
      <c r="R496">
        <v>17</v>
      </c>
      <c r="T496" s="11">
        <f t="shared" si="97"/>
        <v>22</v>
      </c>
      <c r="U496" s="11">
        <f t="shared" si="98"/>
        <v>20</v>
      </c>
      <c r="V496" t="str">
        <f t="shared" si="99"/>
        <v>S41 8NZ</v>
      </c>
      <c r="W496" t="str">
        <f t="shared" si="100"/>
        <v>ST6 1AW</v>
      </c>
      <c r="X496" s="12">
        <v>5527</v>
      </c>
      <c r="Y496" s="15">
        <f t="shared" si="90"/>
        <v>26</v>
      </c>
    </row>
    <row r="497" spans="1:25" x14ac:dyDescent="0.2">
      <c r="A497" t="s">
        <v>3</v>
      </c>
      <c r="B497" s="13">
        <v>42833</v>
      </c>
      <c r="C497" s="2" t="str">
        <f t="shared" si="91"/>
        <v>Sat</v>
      </c>
      <c r="D497" t="s">
        <v>25</v>
      </c>
      <c r="E497" t="s">
        <v>17</v>
      </c>
      <c r="F497" t="str">
        <f t="shared" si="92"/>
        <v>D</v>
      </c>
      <c r="G497">
        <f t="shared" si="93"/>
        <v>0</v>
      </c>
      <c r="H497" t="s">
        <v>32</v>
      </c>
      <c r="I497">
        <f t="shared" si="94"/>
        <v>0</v>
      </c>
      <c r="J497">
        <f t="shared" si="101"/>
        <v>32609</v>
      </c>
      <c r="K497" s="15">
        <f t="shared" si="95"/>
        <v>598</v>
      </c>
      <c r="L497" s="15">
        <f t="shared" si="96"/>
        <v>299</v>
      </c>
      <c r="M497">
        <v>24</v>
      </c>
      <c r="N497">
        <v>11</v>
      </c>
      <c r="O497">
        <v>3</v>
      </c>
      <c r="P497">
        <v>8</v>
      </c>
      <c r="Q497" s="9">
        <v>66</v>
      </c>
      <c r="R497">
        <v>17</v>
      </c>
      <c r="T497" s="11">
        <f t="shared" si="97"/>
        <v>22</v>
      </c>
      <c r="U497" s="11">
        <f t="shared" si="98"/>
        <v>22</v>
      </c>
      <c r="V497" t="str">
        <f t="shared" si="99"/>
        <v>CV6 6GE</v>
      </c>
      <c r="W497" t="str">
        <f t="shared" si="100"/>
        <v>PE2 8AL</v>
      </c>
      <c r="X497" s="12">
        <v>10551</v>
      </c>
      <c r="Y497" s="15">
        <f t="shared" si="90"/>
        <v>26</v>
      </c>
    </row>
    <row r="498" spans="1:25" x14ac:dyDescent="0.2">
      <c r="A498" t="s">
        <v>3</v>
      </c>
      <c r="B498" s="13">
        <v>42833</v>
      </c>
      <c r="C498" s="2" t="str">
        <f t="shared" si="91"/>
        <v>Sat</v>
      </c>
      <c r="D498" t="s">
        <v>23</v>
      </c>
      <c r="E498" t="s">
        <v>10</v>
      </c>
      <c r="F498" t="str">
        <f t="shared" si="92"/>
        <v>D</v>
      </c>
      <c r="G498">
        <f t="shared" si="93"/>
        <v>0</v>
      </c>
      <c r="H498" t="s">
        <v>32</v>
      </c>
      <c r="I498">
        <f t="shared" si="94"/>
        <v>0</v>
      </c>
      <c r="J498">
        <f t="shared" si="101"/>
        <v>11582</v>
      </c>
      <c r="K498" s="15">
        <f t="shared" si="95"/>
        <v>827</v>
      </c>
      <c r="L498" s="15">
        <f t="shared" si="96"/>
        <v>285</v>
      </c>
      <c r="M498">
        <v>20</v>
      </c>
      <c r="N498">
        <v>7</v>
      </c>
      <c r="O498">
        <v>3</v>
      </c>
      <c r="P498">
        <v>7</v>
      </c>
      <c r="Q498" s="9">
        <v>32</v>
      </c>
      <c r="R498">
        <v>19</v>
      </c>
      <c r="T498" s="11">
        <f t="shared" si="97"/>
        <v>12</v>
      </c>
      <c r="U498" s="11">
        <f t="shared" si="98"/>
        <v>10</v>
      </c>
      <c r="V498" t="str">
        <f t="shared" si="99"/>
        <v>ME7 4DD</v>
      </c>
      <c r="W498" t="str">
        <f t="shared" si="100"/>
        <v>SE16 3LN</v>
      </c>
      <c r="X498" s="12">
        <v>7221</v>
      </c>
      <c r="Y498" s="15">
        <f t="shared" si="90"/>
        <v>28</v>
      </c>
    </row>
    <row r="499" spans="1:25" x14ac:dyDescent="0.2">
      <c r="A499" t="s">
        <v>3</v>
      </c>
      <c r="B499" s="13">
        <v>42833</v>
      </c>
      <c r="C499" s="2" t="str">
        <f t="shared" si="91"/>
        <v>Sat</v>
      </c>
      <c r="D499" t="s">
        <v>12</v>
      </c>
      <c r="E499" t="s">
        <v>5</v>
      </c>
      <c r="F499" t="str">
        <f t="shared" si="92"/>
        <v>D</v>
      </c>
      <c r="G499">
        <f t="shared" si="93"/>
        <v>0</v>
      </c>
      <c r="H499" t="s">
        <v>32</v>
      </c>
      <c r="I499">
        <f t="shared" si="94"/>
        <v>0</v>
      </c>
      <c r="J499">
        <f t="shared" si="101"/>
        <v>7653</v>
      </c>
      <c r="K499" s="15">
        <f t="shared" si="95"/>
        <v>1622</v>
      </c>
      <c r="L499" s="15">
        <f t="shared" si="96"/>
        <v>249</v>
      </c>
      <c r="M499">
        <v>15</v>
      </c>
      <c r="N499">
        <v>1</v>
      </c>
      <c r="O499">
        <v>6</v>
      </c>
      <c r="P499">
        <v>13</v>
      </c>
      <c r="Q499" s="9">
        <v>103</v>
      </c>
      <c r="R499">
        <v>18</v>
      </c>
      <c r="T499" s="11">
        <f t="shared" si="97"/>
        <v>24</v>
      </c>
      <c r="U499" s="11">
        <f t="shared" si="98"/>
        <v>24</v>
      </c>
      <c r="V499" t="str">
        <f t="shared" si="99"/>
        <v>NN5 5QA</v>
      </c>
      <c r="W499" t="str">
        <f t="shared" si="100"/>
        <v>S2 4SU</v>
      </c>
      <c r="X499" s="12">
        <v>7425</v>
      </c>
      <c r="Y499" s="15">
        <f t="shared" si="90"/>
        <v>24</v>
      </c>
    </row>
    <row r="500" spans="1:25" x14ac:dyDescent="0.2">
      <c r="A500" t="s">
        <v>3</v>
      </c>
      <c r="B500" s="13">
        <v>42833</v>
      </c>
      <c r="C500" s="2" t="str">
        <f t="shared" si="91"/>
        <v>Sat</v>
      </c>
      <c r="D500" t="s">
        <v>11</v>
      </c>
      <c r="E500" t="s">
        <v>13</v>
      </c>
      <c r="F500" t="str">
        <f t="shared" si="92"/>
        <v>D</v>
      </c>
      <c r="G500">
        <f t="shared" si="93"/>
        <v>0</v>
      </c>
      <c r="H500" t="s">
        <v>32</v>
      </c>
      <c r="I500">
        <f t="shared" si="94"/>
        <v>0</v>
      </c>
      <c r="J500">
        <f t="shared" si="101"/>
        <v>13559</v>
      </c>
      <c r="K500" s="15">
        <f t="shared" si="95"/>
        <v>210</v>
      </c>
      <c r="L500" s="15">
        <f t="shared" si="96"/>
        <v>300</v>
      </c>
      <c r="M500">
        <v>19</v>
      </c>
      <c r="N500">
        <v>3</v>
      </c>
      <c r="O500">
        <v>8</v>
      </c>
      <c r="P500">
        <v>8</v>
      </c>
      <c r="Q500" s="9">
        <v>59</v>
      </c>
      <c r="R500">
        <v>18</v>
      </c>
      <c r="T500" s="11">
        <f t="shared" si="97"/>
        <v>22</v>
      </c>
      <c r="U500" s="11">
        <f t="shared" si="98"/>
        <v>24</v>
      </c>
      <c r="V500" t="str">
        <f t="shared" si="99"/>
        <v>OL1 2PA</v>
      </c>
      <c r="W500" t="str">
        <f t="shared" si="100"/>
        <v>FY7 6TX</v>
      </c>
      <c r="X500" s="12">
        <v>3933</v>
      </c>
      <c r="Y500" s="15">
        <f t="shared" si="90"/>
        <v>24</v>
      </c>
    </row>
    <row r="501" spans="1:25" x14ac:dyDescent="0.2">
      <c r="A501" t="s">
        <v>3</v>
      </c>
      <c r="B501" s="13">
        <v>42833</v>
      </c>
      <c r="C501" s="2" t="str">
        <f t="shared" si="91"/>
        <v>Sat</v>
      </c>
      <c r="D501" t="s">
        <v>18</v>
      </c>
      <c r="E501" t="s">
        <v>4</v>
      </c>
      <c r="F501" t="str">
        <f t="shared" si="92"/>
        <v>D</v>
      </c>
      <c r="G501">
        <f t="shared" si="93"/>
        <v>0</v>
      </c>
      <c r="H501" t="s">
        <v>32</v>
      </c>
      <c r="I501">
        <f t="shared" si="94"/>
        <v>0</v>
      </c>
      <c r="J501">
        <f t="shared" si="101"/>
        <v>9183</v>
      </c>
      <c r="K501" s="15">
        <f t="shared" si="95"/>
        <v>912</v>
      </c>
      <c r="L501" s="15">
        <f t="shared" si="96"/>
        <v>288</v>
      </c>
      <c r="M501">
        <v>5</v>
      </c>
      <c r="N501">
        <v>2</v>
      </c>
      <c r="O501">
        <v>6</v>
      </c>
      <c r="P501">
        <v>13</v>
      </c>
      <c r="Q501" s="9">
        <v>100</v>
      </c>
      <c r="R501">
        <v>18</v>
      </c>
      <c r="T501" s="11">
        <f t="shared" si="97"/>
        <v>18</v>
      </c>
      <c r="U501" s="11">
        <f t="shared" si="98"/>
        <v>22</v>
      </c>
      <c r="V501" t="str">
        <f t="shared" si="99"/>
        <v>DN15 8TD</v>
      </c>
      <c r="W501" t="str">
        <f t="shared" si="100"/>
        <v>BL6 6JW</v>
      </c>
      <c r="X501" s="12">
        <v>6149</v>
      </c>
      <c r="Y501" s="15">
        <f t="shared" si="90"/>
        <v>23</v>
      </c>
    </row>
    <row r="502" spans="1:25" x14ac:dyDescent="0.2">
      <c r="A502" t="s">
        <v>3</v>
      </c>
      <c r="B502" s="13">
        <v>42833</v>
      </c>
      <c r="C502" s="2" t="str">
        <f t="shared" si="91"/>
        <v>Sat</v>
      </c>
      <c r="D502" t="s">
        <v>20</v>
      </c>
      <c r="E502" t="s">
        <v>16</v>
      </c>
      <c r="F502" t="str">
        <f t="shared" si="92"/>
        <v>D</v>
      </c>
      <c r="G502">
        <f t="shared" si="93"/>
        <v>0</v>
      </c>
      <c r="H502" t="s">
        <v>32</v>
      </c>
      <c r="I502">
        <f t="shared" si="94"/>
        <v>0</v>
      </c>
      <c r="J502">
        <f t="shared" si="101"/>
        <v>9875</v>
      </c>
      <c r="K502" s="15">
        <f t="shared" si="95"/>
        <v>497</v>
      </c>
      <c r="L502" s="15">
        <f t="shared" si="96"/>
        <v>285</v>
      </c>
      <c r="M502">
        <v>21</v>
      </c>
      <c r="N502">
        <v>8</v>
      </c>
      <c r="O502">
        <v>1</v>
      </c>
      <c r="P502">
        <v>8</v>
      </c>
      <c r="Q502" s="9">
        <v>99</v>
      </c>
      <c r="R502">
        <v>18</v>
      </c>
      <c r="T502" s="11">
        <f t="shared" si="97"/>
        <v>20</v>
      </c>
      <c r="U502" s="11">
        <f t="shared" si="98"/>
        <v>20</v>
      </c>
      <c r="V502" t="str">
        <f t="shared" si="99"/>
        <v>SY2 6ST</v>
      </c>
      <c r="W502" t="str">
        <f t="shared" si="100"/>
        <v>OL11 5DR</v>
      </c>
      <c r="X502" s="12">
        <v>4500</v>
      </c>
      <c r="Y502" s="15">
        <f t="shared" si="90"/>
        <v>22</v>
      </c>
    </row>
    <row r="503" spans="1:25" x14ac:dyDescent="0.2">
      <c r="A503" t="s">
        <v>3</v>
      </c>
      <c r="B503" s="13">
        <v>42833</v>
      </c>
      <c r="C503" s="2" t="str">
        <f t="shared" si="91"/>
        <v>Sat</v>
      </c>
      <c r="D503" t="s">
        <v>24</v>
      </c>
      <c r="E503" t="s">
        <v>21</v>
      </c>
      <c r="F503" t="str">
        <f t="shared" si="92"/>
        <v>D</v>
      </c>
      <c r="G503">
        <f t="shared" si="93"/>
        <v>0</v>
      </c>
      <c r="H503" t="s">
        <v>32</v>
      </c>
      <c r="I503">
        <f t="shared" si="94"/>
        <v>0</v>
      </c>
      <c r="J503">
        <f t="shared" si="101"/>
        <v>15728</v>
      </c>
      <c r="K503" s="15">
        <f t="shared" si="95"/>
        <v>596</v>
      </c>
      <c r="L503" s="15">
        <f t="shared" si="96"/>
        <v>345</v>
      </c>
      <c r="M503">
        <v>22</v>
      </c>
      <c r="N503">
        <v>12</v>
      </c>
      <c r="O503">
        <v>6</v>
      </c>
      <c r="P503">
        <v>10</v>
      </c>
      <c r="Q503" s="9">
        <v>35</v>
      </c>
      <c r="R503">
        <v>19</v>
      </c>
      <c r="T503" s="11">
        <f t="shared" si="97"/>
        <v>19</v>
      </c>
      <c r="U503" s="11">
        <f t="shared" si="98"/>
        <v>19</v>
      </c>
      <c r="V503" t="str">
        <f t="shared" si="99"/>
        <v>SN1 2ED</v>
      </c>
      <c r="W503" t="str">
        <f t="shared" si="100"/>
        <v>MK1 1ST</v>
      </c>
      <c r="X503" s="12">
        <v>7946</v>
      </c>
      <c r="Y503" s="15">
        <f t="shared" si="90"/>
        <v>25</v>
      </c>
    </row>
    <row r="504" spans="1:25" x14ac:dyDescent="0.2">
      <c r="A504" t="s">
        <v>3</v>
      </c>
      <c r="B504" s="13">
        <v>42833</v>
      </c>
      <c r="C504" s="2" t="str">
        <f t="shared" si="91"/>
        <v>Sat</v>
      </c>
      <c r="D504" t="s">
        <v>26</v>
      </c>
      <c r="E504" t="s">
        <v>14</v>
      </c>
      <c r="F504" t="str">
        <f t="shared" si="92"/>
        <v>D</v>
      </c>
      <c r="G504">
        <f t="shared" si="93"/>
        <v>0</v>
      </c>
      <c r="H504" t="s">
        <v>32</v>
      </c>
      <c r="I504">
        <f t="shared" si="94"/>
        <v>0</v>
      </c>
      <c r="J504">
        <f t="shared" si="101"/>
        <v>11300</v>
      </c>
      <c r="K504" s="15">
        <f t="shared" si="95"/>
        <v>1000</v>
      </c>
      <c r="L504" s="15">
        <f t="shared" si="96"/>
        <v>253</v>
      </c>
      <c r="M504">
        <v>14</v>
      </c>
      <c r="N504">
        <v>10</v>
      </c>
      <c r="O504">
        <v>4</v>
      </c>
      <c r="P504">
        <v>10</v>
      </c>
      <c r="Q504" s="9">
        <v>84</v>
      </c>
      <c r="R504">
        <v>18</v>
      </c>
      <c r="T504" s="11">
        <f t="shared" si="97"/>
        <v>20</v>
      </c>
      <c r="U504" s="11">
        <f t="shared" si="98"/>
        <v>20</v>
      </c>
      <c r="V504" t="str">
        <f t="shared" si="99"/>
        <v>WS1 4SA</v>
      </c>
      <c r="W504" t="str">
        <f t="shared" si="100"/>
        <v>OX4 4XP</v>
      </c>
      <c r="X504" s="12">
        <v>5417</v>
      </c>
      <c r="Y504" s="15">
        <f t="shared" si="90"/>
        <v>25.5</v>
      </c>
    </row>
    <row r="505" spans="1:25" x14ac:dyDescent="0.2">
      <c r="A505" t="s">
        <v>3</v>
      </c>
      <c r="B505" s="13">
        <v>42838</v>
      </c>
      <c r="C505" s="2" t="str">
        <f t="shared" si="91"/>
        <v>Thu</v>
      </c>
      <c r="D505" t="s">
        <v>8</v>
      </c>
      <c r="E505" t="s">
        <v>16</v>
      </c>
      <c r="F505" t="str">
        <f t="shared" si="92"/>
        <v>E</v>
      </c>
      <c r="G505">
        <f t="shared" si="93"/>
        <v>1</v>
      </c>
      <c r="H505" t="s">
        <v>32</v>
      </c>
      <c r="I505">
        <f t="shared" si="94"/>
        <v>0</v>
      </c>
      <c r="J505">
        <f t="shared" si="101"/>
        <v>11841</v>
      </c>
      <c r="K505" s="15">
        <f t="shared" si="95"/>
        <v>497</v>
      </c>
      <c r="L505" s="15">
        <f t="shared" si="96"/>
        <v>275</v>
      </c>
      <c r="M505">
        <v>19</v>
      </c>
      <c r="N505">
        <v>9</v>
      </c>
      <c r="O505">
        <v>5</v>
      </c>
      <c r="P505">
        <v>7</v>
      </c>
      <c r="Q505" s="9">
        <v>101</v>
      </c>
      <c r="R505">
        <v>8</v>
      </c>
      <c r="T505" s="11">
        <f t="shared" si="97"/>
        <v>18</v>
      </c>
      <c r="U505" s="11">
        <f t="shared" si="98"/>
        <v>18</v>
      </c>
      <c r="V505" t="str">
        <f t="shared" si="99"/>
        <v>BL9 9HR</v>
      </c>
      <c r="W505" t="str">
        <f t="shared" si="100"/>
        <v>OL11 5DR</v>
      </c>
      <c r="X505" s="12">
        <v>4850</v>
      </c>
      <c r="Y505" s="15">
        <f t="shared" si="90"/>
        <v>22</v>
      </c>
    </row>
    <row r="506" spans="1:25" x14ac:dyDescent="0.2">
      <c r="A506" t="s">
        <v>3</v>
      </c>
      <c r="B506" s="13">
        <v>42839</v>
      </c>
      <c r="C506" s="2" t="str">
        <f t="shared" si="91"/>
        <v>Fri</v>
      </c>
      <c r="D506" t="s">
        <v>6</v>
      </c>
      <c r="E506" t="s">
        <v>14</v>
      </c>
      <c r="F506" t="str">
        <f t="shared" si="92"/>
        <v>E</v>
      </c>
      <c r="G506">
        <f t="shared" si="93"/>
        <v>1</v>
      </c>
      <c r="H506" t="s">
        <v>31</v>
      </c>
      <c r="I506">
        <f t="shared" si="94"/>
        <v>1</v>
      </c>
      <c r="J506">
        <f t="shared" si="101"/>
        <v>25136</v>
      </c>
      <c r="K506" s="15">
        <f t="shared" si="95"/>
        <v>1000</v>
      </c>
      <c r="L506" s="15">
        <f t="shared" si="96"/>
        <v>149</v>
      </c>
      <c r="M506">
        <v>4</v>
      </c>
      <c r="N506">
        <v>10</v>
      </c>
      <c r="O506">
        <v>10</v>
      </c>
      <c r="P506">
        <v>8</v>
      </c>
      <c r="Q506" s="9">
        <v>178</v>
      </c>
      <c r="R506">
        <v>9</v>
      </c>
      <c r="T506" s="11">
        <f t="shared" si="97"/>
        <v>25</v>
      </c>
      <c r="U506" s="11">
        <f t="shared" si="98"/>
        <v>20</v>
      </c>
      <c r="V506" t="str">
        <f t="shared" si="99"/>
        <v>BD8 7DY</v>
      </c>
      <c r="W506" t="str">
        <f t="shared" si="100"/>
        <v>OX4 4XP</v>
      </c>
      <c r="X506" s="12">
        <v>19346</v>
      </c>
      <c r="Y506" s="15">
        <f t="shared" si="90"/>
        <v>25</v>
      </c>
    </row>
    <row r="507" spans="1:25" x14ac:dyDescent="0.2">
      <c r="A507" t="s">
        <v>3</v>
      </c>
      <c r="B507" s="13">
        <v>42839</v>
      </c>
      <c r="C507" s="2" t="str">
        <f t="shared" si="91"/>
        <v>Fri</v>
      </c>
      <c r="D507" t="s">
        <v>15</v>
      </c>
      <c r="E507" t="s">
        <v>22</v>
      </c>
      <c r="F507" t="str">
        <f t="shared" si="92"/>
        <v>E</v>
      </c>
      <c r="G507">
        <f t="shared" si="93"/>
        <v>1</v>
      </c>
      <c r="H507" t="s">
        <v>31</v>
      </c>
      <c r="I507">
        <f t="shared" si="94"/>
        <v>1</v>
      </c>
      <c r="J507">
        <f t="shared" si="101"/>
        <v>10504</v>
      </c>
      <c r="K507" s="15">
        <f t="shared" si="95"/>
        <v>635</v>
      </c>
      <c r="L507" s="15">
        <f t="shared" si="96"/>
        <v>345</v>
      </c>
      <c r="M507">
        <v>23</v>
      </c>
      <c r="N507">
        <v>7</v>
      </c>
      <c r="O507">
        <v>5</v>
      </c>
      <c r="P507">
        <v>9</v>
      </c>
      <c r="Q507" s="9">
        <v>146</v>
      </c>
      <c r="R507">
        <v>12</v>
      </c>
      <c r="S507" t="s">
        <v>68</v>
      </c>
      <c r="T507" s="11">
        <f t="shared" si="97"/>
        <v>22</v>
      </c>
      <c r="U507" s="11">
        <f t="shared" si="98"/>
        <v>20</v>
      </c>
      <c r="V507" t="str">
        <f t="shared" si="99"/>
        <v>S41 8NZ</v>
      </c>
      <c r="W507" t="str">
        <f t="shared" si="100"/>
        <v>SS2 6NQ</v>
      </c>
      <c r="X507" s="12">
        <v>5529</v>
      </c>
      <c r="Y507" s="15">
        <f t="shared" si="90"/>
        <v>26</v>
      </c>
    </row>
    <row r="508" spans="1:25" x14ac:dyDescent="0.2">
      <c r="A508" t="s">
        <v>3</v>
      </c>
      <c r="B508" s="13">
        <v>42839</v>
      </c>
      <c r="C508" s="2" t="str">
        <f t="shared" si="91"/>
        <v>Fri</v>
      </c>
      <c r="D508" t="s">
        <v>25</v>
      </c>
      <c r="E508" t="s">
        <v>9</v>
      </c>
      <c r="F508" t="str">
        <f t="shared" si="92"/>
        <v>E</v>
      </c>
      <c r="G508">
        <f t="shared" si="93"/>
        <v>1</v>
      </c>
      <c r="H508" t="s">
        <v>31</v>
      </c>
      <c r="I508">
        <f t="shared" si="94"/>
        <v>1</v>
      </c>
      <c r="J508">
        <f t="shared" si="101"/>
        <v>32609</v>
      </c>
      <c r="K508" s="15">
        <f t="shared" si="95"/>
        <v>680</v>
      </c>
      <c r="L508" s="15">
        <f t="shared" si="96"/>
        <v>299</v>
      </c>
      <c r="M508">
        <v>24</v>
      </c>
      <c r="N508">
        <v>16</v>
      </c>
      <c r="O508">
        <v>6</v>
      </c>
      <c r="P508">
        <v>4</v>
      </c>
      <c r="Q508" s="9">
        <v>39</v>
      </c>
      <c r="R508">
        <v>11</v>
      </c>
      <c r="S508" t="s">
        <v>68</v>
      </c>
      <c r="T508" s="11">
        <f t="shared" si="97"/>
        <v>22</v>
      </c>
      <c r="U508" s="11">
        <f t="shared" si="98"/>
        <v>22</v>
      </c>
      <c r="V508" t="str">
        <f t="shared" si="99"/>
        <v>CV6 6GE</v>
      </c>
      <c r="W508" t="str">
        <f t="shared" si="100"/>
        <v>SE7 8BL</v>
      </c>
      <c r="X508" s="12">
        <v>9479</v>
      </c>
      <c r="Y508" s="15">
        <f t="shared" si="90"/>
        <v>26</v>
      </c>
    </row>
    <row r="509" spans="1:25" x14ac:dyDescent="0.2">
      <c r="A509" t="s">
        <v>3</v>
      </c>
      <c r="B509" s="13">
        <v>42839</v>
      </c>
      <c r="C509" s="2" t="str">
        <f t="shared" si="91"/>
        <v>Fri</v>
      </c>
      <c r="D509" t="s">
        <v>23</v>
      </c>
      <c r="E509" t="s">
        <v>19</v>
      </c>
      <c r="F509" t="str">
        <f t="shared" si="92"/>
        <v>E</v>
      </c>
      <c r="G509">
        <f t="shared" si="93"/>
        <v>1</v>
      </c>
      <c r="H509" t="s">
        <v>31</v>
      </c>
      <c r="I509">
        <f t="shared" si="94"/>
        <v>1</v>
      </c>
      <c r="J509">
        <f t="shared" si="101"/>
        <v>11582</v>
      </c>
      <c r="K509" s="15">
        <f t="shared" si="95"/>
        <v>1159</v>
      </c>
      <c r="L509" s="15">
        <f t="shared" si="96"/>
        <v>285</v>
      </c>
      <c r="M509">
        <v>21</v>
      </c>
      <c r="N509">
        <v>8</v>
      </c>
      <c r="O509">
        <v>1</v>
      </c>
      <c r="P509">
        <v>9</v>
      </c>
      <c r="Q509" s="9">
        <v>175</v>
      </c>
      <c r="R509">
        <v>14</v>
      </c>
      <c r="T509" s="11">
        <f t="shared" si="97"/>
        <v>12</v>
      </c>
      <c r="U509" s="11">
        <f t="shared" si="98"/>
        <v>10</v>
      </c>
      <c r="V509" t="str">
        <f t="shared" si="99"/>
        <v>ME7 4DD</v>
      </c>
      <c r="W509" t="str">
        <f t="shared" si="100"/>
        <v>BS7 0BF</v>
      </c>
      <c r="X509" s="12">
        <v>5916</v>
      </c>
      <c r="Y509" s="15">
        <f t="shared" si="90"/>
        <v>28</v>
      </c>
    </row>
    <row r="510" spans="1:25" x14ac:dyDescent="0.2">
      <c r="A510" t="s">
        <v>3</v>
      </c>
      <c r="B510" s="13">
        <v>42839</v>
      </c>
      <c r="C510" s="2" t="str">
        <f t="shared" si="91"/>
        <v>Fri</v>
      </c>
      <c r="D510" t="s">
        <v>10</v>
      </c>
      <c r="E510" t="s">
        <v>12</v>
      </c>
      <c r="F510" t="str">
        <f t="shared" si="92"/>
        <v>E</v>
      </c>
      <c r="G510">
        <f t="shared" si="93"/>
        <v>1</v>
      </c>
      <c r="H510" t="s">
        <v>31</v>
      </c>
      <c r="I510">
        <f t="shared" si="94"/>
        <v>1</v>
      </c>
      <c r="J510">
        <f t="shared" si="101"/>
        <v>20146</v>
      </c>
      <c r="K510" s="15">
        <f t="shared" si="95"/>
        <v>843</v>
      </c>
      <c r="L510" s="15">
        <f t="shared" si="96"/>
        <v>333</v>
      </c>
      <c r="M510">
        <v>6</v>
      </c>
      <c r="N510">
        <v>15</v>
      </c>
      <c r="O510">
        <v>7</v>
      </c>
      <c r="P510">
        <v>5</v>
      </c>
      <c r="Q510" s="9">
        <v>71</v>
      </c>
      <c r="R510">
        <v>14</v>
      </c>
      <c r="T510" s="11">
        <f t="shared" si="97"/>
        <v>22</v>
      </c>
      <c r="U510" s="11">
        <f t="shared" si="98"/>
        <v>23</v>
      </c>
      <c r="V510" t="str">
        <f t="shared" si="99"/>
        <v>SE16 3LN</v>
      </c>
      <c r="W510" t="str">
        <f t="shared" si="100"/>
        <v>NN5 5QA</v>
      </c>
      <c r="X510" s="12">
        <v>10886</v>
      </c>
      <c r="Y510" s="15">
        <f t="shared" si="90"/>
        <v>30</v>
      </c>
    </row>
    <row r="511" spans="1:25" x14ac:dyDescent="0.2">
      <c r="A511" t="s">
        <v>3</v>
      </c>
      <c r="B511" s="13">
        <v>42839</v>
      </c>
      <c r="C511" s="2" t="str">
        <f t="shared" si="91"/>
        <v>Fri</v>
      </c>
      <c r="D511" t="s">
        <v>21</v>
      </c>
      <c r="E511" t="s">
        <v>18</v>
      </c>
      <c r="F511" t="str">
        <f t="shared" si="92"/>
        <v>E</v>
      </c>
      <c r="G511">
        <f t="shared" si="93"/>
        <v>1</v>
      </c>
      <c r="H511" t="s">
        <v>31</v>
      </c>
      <c r="I511">
        <f t="shared" si="94"/>
        <v>1</v>
      </c>
      <c r="J511">
        <f t="shared" si="101"/>
        <v>30500</v>
      </c>
      <c r="K511" s="15">
        <f t="shared" si="95"/>
        <v>508</v>
      </c>
      <c r="L511" s="15">
        <f t="shared" si="96"/>
        <v>312</v>
      </c>
      <c r="M511">
        <v>12</v>
      </c>
      <c r="N511">
        <v>5</v>
      </c>
      <c r="O511">
        <v>10</v>
      </c>
      <c r="P511">
        <v>9</v>
      </c>
      <c r="Q511" s="9">
        <v>119</v>
      </c>
      <c r="R511">
        <v>13</v>
      </c>
      <c r="T511" s="11">
        <f t="shared" si="97"/>
        <v>22</v>
      </c>
      <c r="U511" s="11">
        <f t="shared" si="98"/>
        <v>22</v>
      </c>
      <c r="V511" t="str">
        <f t="shared" si="99"/>
        <v>MK1 1ST</v>
      </c>
      <c r="W511" t="str">
        <f t="shared" si="100"/>
        <v>DN15 8TD</v>
      </c>
      <c r="X511" s="12">
        <v>9274</v>
      </c>
      <c r="Y511" s="15">
        <f t="shared" si="90"/>
        <v>27</v>
      </c>
    </row>
    <row r="512" spans="1:25" x14ac:dyDescent="0.2">
      <c r="A512" t="s">
        <v>3</v>
      </c>
      <c r="B512" s="13">
        <v>42839</v>
      </c>
      <c r="C512" s="2" t="str">
        <f t="shared" si="91"/>
        <v>Fri</v>
      </c>
      <c r="D512" t="s">
        <v>17</v>
      </c>
      <c r="E512" t="s">
        <v>13</v>
      </c>
      <c r="F512" t="str">
        <f t="shared" si="92"/>
        <v>E</v>
      </c>
      <c r="G512">
        <f t="shared" si="93"/>
        <v>1</v>
      </c>
      <c r="H512" t="s">
        <v>31</v>
      </c>
      <c r="I512">
        <f t="shared" si="94"/>
        <v>1</v>
      </c>
      <c r="J512">
        <f t="shared" si="101"/>
        <v>15314</v>
      </c>
      <c r="K512" s="15">
        <f t="shared" si="95"/>
        <v>210</v>
      </c>
      <c r="L512" s="15">
        <f t="shared" si="96"/>
        <v>295</v>
      </c>
      <c r="M512">
        <v>11</v>
      </c>
      <c r="N512">
        <v>3</v>
      </c>
      <c r="O512">
        <v>5</v>
      </c>
      <c r="P512">
        <v>5</v>
      </c>
      <c r="Q512" s="9">
        <v>170</v>
      </c>
      <c r="R512">
        <v>11</v>
      </c>
      <c r="T512" s="11">
        <f t="shared" si="97"/>
        <v>21</v>
      </c>
      <c r="U512" s="11">
        <f t="shared" si="98"/>
        <v>20</v>
      </c>
      <c r="V512" t="str">
        <f t="shared" si="99"/>
        <v>PE2 8AL</v>
      </c>
      <c r="W512" t="str">
        <f t="shared" si="100"/>
        <v>FY7 6TX</v>
      </c>
      <c r="X512" s="12">
        <v>5629</v>
      </c>
      <c r="Y512" s="15">
        <f t="shared" si="90"/>
        <v>26</v>
      </c>
    </row>
    <row r="513" spans="1:25" x14ac:dyDescent="0.2">
      <c r="A513" t="s">
        <v>3</v>
      </c>
      <c r="B513" s="13">
        <v>42839</v>
      </c>
      <c r="C513" s="2" t="str">
        <f t="shared" si="91"/>
        <v>Fri</v>
      </c>
      <c r="D513" t="s">
        <v>7</v>
      </c>
      <c r="E513" t="s">
        <v>5</v>
      </c>
      <c r="F513" t="str">
        <f t="shared" si="92"/>
        <v>E</v>
      </c>
      <c r="G513">
        <f t="shared" si="93"/>
        <v>1</v>
      </c>
      <c r="H513" t="s">
        <v>31</v>
      </c>
      <c r="I513">
        <f t="shared" si="94"/>
        <v>1</v>
      </c>
      <c r="J513">
        <f t="shared" si="101"/>
        <v>18947</v>
      </c>
      <c r="K513" s="15">
        <f t="shared" si="95"/>
        <v>1622</v>
      </c>
      <c r="L513" s="15">
        <f t="shared" si="96"/>
        <v>345</v>
      </c>
      <c r="M513">
        <v>18</v>
      </c>
      <c r="N513">
        <v>1</v>
      </c>
      <c r="O513">
        <v>4</v>
      </c>
      <c r="P513">
        <v>13</v>
      </c>
      <c r="Q513" s="9">
        <v>47</v>
      </c>
      <c r="R513">
        <v>13</v>
      </c>
      <c r="T513" s="11">
        <f t="shared" si="97"/>
        <v>22</v>
      </c>
      <c r="U513" s="11">
        <f t="shared" si="98"/>
        <v>22</v>
      </c>
      <c r="V513" t="str">
        <f t="shared" si="99"/>
        <v>ST6 1AW</v>
      </c>
      <c r="W513" t="str">
        <f t="shared" si="100"/>
        <v>S2 4SU</v>
      </c>
      <c r="X513" s="12">
        <v>8999</v>
      </c>
      <c r="Y513" s="15">
        <f t="shared" si="90"/>
        <v>23</v>
      </c>
    </row>
    <row r="514" spans="1:25" x14ac:dyDescent="0.2">
      <c r="A514" t="s">
        <v>3</v>
      </c>
      <c r="B514" s="13">
        <v>42839</v>
      </c>
      <c r="C514" s="2" t="str">
        <f t="shared" si="91"/>
        <v>Fri</v>
      </c>
      <c r="D514" t="s">
        <v>20</v>
      </c>
      <c r="E514" t="s">
        <v>26</v>
      </c>
      <c r="F514" t="str">
        <f t="shared" si="92"/>
        <v>E</v>
      </c>
      <c r="G514">
        <f t="shared" si="93"/>
        <v>1</v>
      </c>
      <c r="H514" t="s">
        <v>31</v>
      </c>
      <c r="I514">
        <f t="shared" si="94"/>
        <v>1</v>
      </c>
      <c r="J514">
        <f t="shared" si="101"/>
        <v>9875</v>
      </c>
      <c r="K514" s="15">
        <f t="shared" si="95"/>
        <v>792</v>
      </c>
      <c r="L514" s="15">
        <f t="shared" si="96"/>
        <v>285</v>
      </c>
      <c r="M514">
        <v>20</v>
      </c>
      <c r="N514">
        <v>14</v>
      </c>
      <c r="O514">
        <v>3</v>
      </c>
      <c r="P514">
        <v>2</v>
      </c>
      <c r="Q514" s="9">
        <v>47</v>
      </c>
      <c r="R514">
        <v>13</v>
      </c>
      <c r="T514" s="11">
        <f t="shared" si="97"/>
        <v>20</v>
      </c>
      <c r="U514" s="11">
        <f t="shared" si="98"/>
        <v>20</v>
      </c>
      <c r="V514" t="str">
        <f t="shared" si="99"/>
        <v>SY2 6ST</v>
      </c>
      <c r="W514" t="str">
        <f t="shared" si="100"/>
        <v>WS1 4SA</v>
      </c>
      <c r="X514" s="12">
        <v>4116</v>
      </c>
      <c r="Y514" s="15">
        <f t="shared" ref="Y514:Y553" si="102">IF(D514="AFC Wimbledon",29,IF(D514="Bolton",30,IF(D514="Bury",22,IF(D514="Bradford",25,IF(D514="Bristol Rvs",26,IF(D514="Charlton",35,IF(D514="Chesterfield",26,IF(D514="Coventry",26,IF(D514="Gillingham",28,IF(D514="Millwall",30,IF(D514="Milton Keynes Dons",27,IF(D514="Northampton",24,IF(D514="Oldham",24,IF(D514="Oxford",24,IF(D514="Peterboro",26,IF(D514="Port Vale",23,IF(D514="Rochdale",22,IF(D514="Scunthorpe",23,IF(D514="Sheffield United",29,IF(D514="Southend",25,IF(D514="Shrewsbury",22,IF(D514="Swindon",25,IF(D514="Walsall",25.5,IF(D514="Fleetwood Town",23.5,"Unknown"))))))))))))))))))))))))</f>
        <v>22</v>
      </c>
    </row>
    <row r="515" spans="1:25" x14ac:dyDescent="0.2">
      <c r="A515" t="s">
        <v>3</v>
      </c>
      <c r="B515" s="13">
        <v>42839</v>
      </c>
      <c r="C515" s="2" t="str">
        <f t="shared" ref="C515:C529" si="103">TEXT(B515,"ddd")</f>
        <v>Fri</v>
      </c>
      <c r="D515" t="s">
        <v>24</v>
      </c>
      <c r="E515" t="s">
        <v>27</v>
      </c>
      <c r="F515" t="str">
        <f t="shared" ref="F515:F529" si="104">IF(C515="Sat","D",IF(C515="Sun","D","E"))</f>
        <v>E</v>
      </c>
      <c r="G515">
        <f t="shared" ref="G515:G553" si="105">IF(F515="D",0,1)</f>
        <v>1</v>
      </c>
      <c r="H515" t="s">
        <v>31</v>
      </c>
      <c r="I515">
        <f t="shared" ref="I515:I553" si="106">IF(H515="N",0,1)</f>
        <v>1</v>
      </c>
      <c r="J515">
        <f t="shared" si="101"/>
        <v>15728</v>
      </c>
      <c r="K515" s="15">
        <f t="shared" ref="K515:K529" si="107">IF(E515="AFC Wimbledon",622,IF(E515="Bolton",912,IF(E515="Bury",608,IF(E515="Bradford",1437,IF(E515="Bristol Rvs",1159,IF(E515="Charlton",680,IF(E515="Chesterfield",583,IF(E515="Coventry",1280,IF(E515="Gillingham",533,IF(E515="Millwall",827,IF(E515="Milton Keynes Dons",596,IF(E515="Northampton",843,IF(E515="Oldham",729,IF(E515="Oxford",1000,IF(E515="Peterboro",598,IF(E515="Port Vale",697,IF(E515="Rochdale",497,IF(E515="Scunthorpe",508,IF(E515="Sheffield United",1622,IF(E515="Southend",635,IF(E515="Shrewsbury",438,IF(E515="Swindon",503,IF(E515="Walsall",792,IF(E515="Fleetwood Town",210,"Unknown"))))))))))))))))))))))))</f>
        <v>622</v>
      </c>
      <c r="L515" s="15">
        <f t="shared" ref="L515:L529" si="108">IF(D515="AFC Wimbledon",260,IF(D515="Bolton",280,IF(D515="Bury",275,IF(D515="Bradford",149,IF(D515="Bristol Rvs",260,IF(D515="Charlton",175,IF(D515="Chesterfield",345,IF(D515="Coventry",299,IF(D515="Gillingham",285,IF(D515="Millwall",333,IF(D515="Milton Keynes Dons",312,IF(D515="Northampton",249,IF(D515="Oldham",300,IF(D515="Oxford",290,IF(D515="Peterboro",295,IF(D515="Port Vale",345,IF(D515="Rochdale",290,IF(D515="Scunthorpe",288,IF(D515="Sheffield United",288,IF(D515="Southend",395,IF(D515="Shrewsbury",285,IF(D515="Swindon",345,IF(D515="Walsall",253,IF(D515="Fleetwood Town",210,"Unknown"))))))))))))))))))))))))</f>
        <v>345</v>
      </c>
      <c r="M515">
        <v>22</v>
      </c>
      <c r="N515">
        <v>13</v>
      </c>
      <c r="O515">
        <v>7</v>
      </c>
      <c r="P515">
        <v>4</v>
      </c>
      <c r="Q515" s="9">
        <v>77</v>
      </c>
      <c r="R515">
        <v>13</v>
      </c>
      <c r="T515" s="11">
        <f t="shared" ref="T515:T529" si="109">IF(D515="AFC Wimbledon",17,IF(D515="Bolton",15,IF(D515="Bury",18,IF(D515="Bradford",25,IF(D515="Bristol Rvs",18,IF(D515="Charlton",20,IF(D515="Chesterfield",22,IF(D515="Coventry",22,IF(D515="Gillingham",12,IF(D515="Millwall",22,IF(D515="Milton Keynes Dons",22,IF(D515="Northampton",24,IF(D515="Oldham",22,IF(D515="Oxford",20,IF(D515="Peterboro",21,IF(D515="Port Vale",22,IF(D515="Rochdale",17,IF(D515="Scunthorpe",18,IF(D515="Sheffield United",20,IF(D515="Southend",25,IF(D515="Shrewsbury",20,IF(D515="Swindon",19,IF(D515="Walsall",20,IF(D515="Fleetwood Town",21.5,"Unknown"))))))))))))))))))))))))</f>
        <v>19</v>
      </c>
      <c r="U515" s="11">
        <f t="shared" ref="U515:U529" si="110">IF(D515="AFC Wimbledon",17,IF(D515="Bolton",15,IF(D515="Bury",18,IF(D515="Bradford",20,IF(D515="Bristol Rvs",16,IF(D515="Charlton",20,IF(D515="Chesterfield",20,IF(D515="Coventry",22,IF(D515="Gillingham",10,IF(D515="Millwall",23,IF(D515="Milton Keynes Dons",22,IF(D515="Northampton",24,IF(D515="Oldham",24,IF(D515="Oxford",21,IF(D515="Peterboro",20,IF(D515="Port Vale",22,IF(D515="Rochdale",22,IF(D515="Scunthorpe",22,IF(D515="Sheffield United",20,IF(D515="Southend",22,IF(D515="Shrewsbury",20,IF(D515="Swindon",19,IF(D515="Walsall",20,IF(D515="Fleetwood Town",21.5,"Unknown"))))))))))))))))))))))))</f>
        <v>19</v>
      </c>
      <c r="V515" t="str">
        <f t="shared" si="99"/>
        <v>SN1 2ED</v>
      </c>
      <c r="W515" t="str">
        <f t="shared" si="100"/>
        <v>KT1 3PB</v>
      </c>
      <c r="X515" s="12">
        <v>7716</v>
      </c>
      <c r="Y515" s="15">
        <f t="shared" si="102"/>
        <v>25</v>
      </c>
    </row>
    <row r="516" spans="1:25" x14ac:dyDescent="0.2">
      <c r="A516" t="s">
        <v>3</v>
      </c>
      <c r="B516" s="13">
        <v>42840</v>
      </c>
      <c r="C516" s="2" t="str">
        <f t="shared" si="103"/>
        <v>Sat</v>
      </c>
      <c r="D516" t="s">
        <v>11</v>
      </c>
      <c r="E516" t="s">
        <v>4</v>
      </c>
      <c r="F516" t="str">
        <f t="shared" si="104"/>
        <v>D</v>
      </c>
      <c r="G516">
        <f t="shared" si="105"/>
        <v>0</v>
      </c>
      <c r="H516" t="s">
        <v>31</v>
      </c>
      <c r="I516">
        <f t="shared" si="106"/>
        <v>1</v>
      </c>
      <c r="J516">
        <f t="shared" si="101"/>
        <v>13559</v>
      </c>
      <c r="K516" s="15">
        <f t="shared" si="107"/>
        <v>912</v>
      </c>
      <c r="L516" s="15">
        <f t="shared" si="108"/>
        <v>300</v>
      </c>
      <c r="M516">
        <v>17</v>
      </c>
      <c r="N516">
        <v>2</v>
      </c>
      <c r="O516">
        <v>8</v>
      </c>
      <c r="P516">
        <v>10</v>
      </c>
      <c r="Q516" s="9">
        <v>16</v>
      </c>
      <c r="R516">
        <v>10</v>
      </c>
      <c r="T516" s="11">
        <f t="shared" si="109"/>
        <v>22</v>
      </c>
      <c r="U516" s="11">
        <f t="shared" si="110"/>
        <v>24</v>
      </c>
      <c r="V516" t="str">
        <f t="shared" si="99"/>
        <v>OL1 2PA</v>
      </c>
      <c r="W516" t="str">
        <f t="shared" si="100"/>
        <v>BL6 6JW</v>
      </c>
      <c r="X516" s="12">
        <v>8788</v>
      </c>
      <c r="Y516" s="15">
        <f t="shared" si="102"/>
        <v>24</v>
      </c>
    </row>
    <row r="517" spans="1:25" x14ac:dyDescent="0.2">
      <c r="A517" t="s">
        <v>3</v>
      </c>
      <c r="B517" s="13">
        <v>42842</v>
      </c>
      <c r="C517" s="2" t="str">
        <f t="shared" si="103"/>
        <v>Mon</v>
      </c>
      <c r="D517" t="s">
        <v>27</v>
      </c>
      <c r="E517" t="s">
        <v>17</v>
      </c>
      <c r="F517" t="str">
        <f t="shared" si="104"/>
        <v>E</v>
      </c>
      <c r="G517">
        <f t="shared" si="105"/>
        <v>1</v>
      </c>
      <c r="H517" t="s">
        <v>31</v>
      </c>
      <c r="I517">
        <f t="shared" si="106"/>
        <v>1</v>
      </c>
      <c r="J517">
        <f t="shared" si="101"/>
        <v>4850</v>
      </c>
      <c r="K517" s="15">
        <f t="shared" si="107"/>
        <v>598</v>
      </c>
      <c r="L517" s="15">
        <f t="shared" si="108"/>
        <v>260</v>
      </c>
      <c r="M517">
        <v>13</v>
      </c>
      <c r="N517">
        <v>11</v>
      </c>
      <c r="O517">
        <v>2</v>
      </c>
      <c r="P517">
        <v>7</v>
      </c>
      <c r="Q517" s="9">
        <v>90</v>
      </c>
      <c r="R517">
        <v>10</v>
      </c>
      <c r="T517" s="11">
        <f t="shared" si="109"/>
        <v>17</v>
      </c>
      <c r="U517" s="11">
        <f t="shared" si="110"/>
        <v>17</v>
      </c>
      <c r="V517" t="str">
        <f t="shared" si="99"/>
        <v>KT1 3PB</v>
      </c>
      <c r="W517" t="str">
        <f t="shared" si="100"/>
        <v>PE2 8AL</v>
      </c>
      <c r="X517" s="12">
        <v>4294</v>
      </c>
      <c r="Y517" s="15">
        <f t="shared" si="102"/>
        <v>29</v>
      </c>
    </row>
    <row r="518" spans="1:25" x14ac:dyDescent="0.2">
      <c r="A518" t="s">
        <v>3</v>
      </c>
      <c r="B518" s="13">
        <v>42842</v>
      </c>
      <c r="C518" s="2" t="str">
        <f t="shared" si="103"/>
        <v>Mon</v>
      </c>
      <c r="D518" t="s">
        <v>19</v>
      </c>
      <c r="E518" t="s">
        <v>11</v>
      </c>
      <c r="F518" t="str">
        <f t="shared" si="104"/>
        <v>E</v>
      </c>
      <c r="G518">
        <f t="shared" si="105"/>
        <v>1</v>
      </c>
      <c r="H518" t="s">
        <v>31</v>
      </c>
      <c r="I518">
        <f t="shared" si="106"/>
        <v>1</v>
      </c>
      <c r="J518">
        <f t="shared" si="101"/>
        <v>12000</v>
      </c>
      <c r="K518" s="15">
        <f t="shared" si="107"/>
        <v>729</v>
      </c>
      <c r="L518" s="15">
        <f t="shared" si="108"/>
        <v>260</v>
      </c>
      <c r="M518">
        <v>9</v>
      </c>
      <c r="N518">
        <v>17</v>
      </c>
      <c r="O518">
        <v>9</v>
      </c>
      <c r="P518">
        <v>8</v>
      </c>
      <c r="Q518" s="9">
        <v>157</v>
      </c>
      <c r="R518">
        <v>12</v>
      </c>
      <c r="T518" s="11">
        <f t="shared" si="109"/>
        <v>18</v>
      </c>
      <c r="U518" s="11">
        <f t="shared" si="110"/>
        <v>16</v>
      </c>
      <c r="V518" t="str">
        <f t="shared" si="99"/>
        <v>BS7 0BF</v>
      </c>
      <c r="W518" t="str">
        <f t="shared" si="100"/>
        <v>OL1 2PA</v>
      </c>
      <c r="X518" s="12">
        <v>9083</v>
      </c>
      <c r="Y518" s="15">
        <f t="shared" si="102"/>
        <v>26</v>
      </c>
    </row>
    <row r="519" spans="1:25" x14ac:dyDescent="0.2">
      <c r="A519" t="s">
        <v>3</v>
      </c>
      <c r="B519" s="13">
        <v>42842</v>
      </c>
      <c r="C519" s="2" t="str">
        <f t="shared" si="103"/>
        <v>Mon</v>
      </c>
      <c r="D519" t="s">
        <v>9</v>
      </c>
      <c r="E519" t="s">
        <v>23</v>
      </c>
      <c r="F519" t="str">
        <f t="shared" si="104"/>
        <v>E</v>
      </c>
      <c r="G519">
        <f t="shared" si="105"/>
        <v>1</v>
      </c>
      <c r="H519" t="s">
        <v>31</v>
      </c>
      <c r="I519">
        <f t="shared" si="106"/>
        <v>1</v>
      </c>
      <c r="J519">
        <f t="shared" si="101"/>
        <v>26875</v>
      </c>
      <c r="K519" s="15">
        <f t="shared" si="107"/>
        <v>533</v>
      </c>
      <c r="L519" s="15">
        <f t="shared" si="108"/>
        <v>175</v>
      </c>
      <c r="M519">
        <v>15</v>
      </c>
      <c r="N519">
        <v>18</v>
      </c>
      <c r="O519">
        <v>4</v>
      </c>
      <c r="P519">
        <v>4</v>
      </c>
      <c r="Q519" s="9">
        <v>100</v>
      </c>
      <c r="R519">
        <v>10</v>
      </c>
      <c r="T519" s="11">
        <f t="shared" si="109"/>
        <v>20</v>
      </c>
      <c r="U519" s="11">
        <f t="shared" si="110"/>
        <v>20</v>
      </c>
      <c r="V519" t="str">
        <f t="shared" si="99"/>
        <v>SE7 8BL</v>
      </c>
      <c r="W519" t="str">
        <f t="shared" si="100"/>
        <v>ME7 4DD</v>
      </c>
      <c r="X519" s="12">
        <v>12449</v>
      </c>
      <c r="Y519" s="15">
        <f t="shared" si="102"/>
        <v>35</v>
      </c>
    </row>
    <row r="520" spans="1:25" x14ac:dyDescent="0.2">
      <c r="A520" t="s">
        <v>3</v>
      </c>
      <c r="B520" s="13">
        <v>42842</v>
      </c>
      <c r="C520" s="2" t="str">
        <f t="shared" si="103"/>
        <v>Mon</v>
      </c>
      <c r="D520" t="s">
        <v>13</v>
      </c>
      <c r="E520" t="s">
        <v>10</v>
      </c>
      <c r="F520" t="str">
        <f t="shared" si="104"/>
        <v>E</v>
      </c>
      <c r="G520">
        <f t="shared" si="105"/>
        <v>1</v>
      </c>
      <c r="H520" t="s">
        <v>31</v>
      </c>
      <c r="I520">
        <f t="shared" si="106"/>
        <v>1</v>
      </c>
      <c r="J520">
        <f t="shared" si="101"/>
        <v>5327</v>
      </c>
      <c r="K520" s="15">
        <f t="shared" si="107"/>
        <v>827</v>
      </c>
      <c r="L520" s="15">
        <f t="shared" si="108"/>
        <v>210</v>
      </c>
      <c r="M520">
        <v>3</v>
      </c>
      <c r="N520">
        <v>6</v>
      </c>
      <c r="O520">
        <v>7</v>
      </c>
      <c r="P520">
        <v>10</v>
      </c>
      <c r="Q520" s="9">
        <v>234</v>
      </c>
      <c r="R520">
        <v>10</v>
      </c>
      <c r="T520" s="11">
        <f t="shared" si="109"/>
        <v>21.5</v>
      </c>
      <c r="U520" s="11">
        <f t="shared" si="110"/>
        <v>21.5</v>
      </c>
      <c r="V520" t="str">
        <f t="shared" si="99"/>
        <v>FY7 6TX</v>
      </c>
      <c r="W520" t="str">
        <f t="shared" si="100"/>
        <v>SE16 3LN</v>
      </c>
      <c r="X520" s="12">
        <v>3665</v>
      </c>
      <c r="Y520" s="15">
        <f t="shared" si="102"/>
        <v>23.5</v>
      </c>
    </row>
    <row r="521" spans="1:25" x14ac:dyDescent="0.2">
      <c r="A521" t="s">
        <v>3</v>
      </c>
      <c r="B521" s="13">
        <v>42842</v>
      </c>
      <c r="C521" s="2" t="str">
        <f t="shared" si="103"/>
        <v>Mon</v>
      </c>
      <c r="D521" t="s">
        <v>12</v>
      </c>
      <c r="E521" t="s">
        <v>20</v>
      </c>
      <c r="F521" t="str">
        <f t="shared" si="104"/>
        <v>E</v>
      </c>
      <c r="G521">
        <f t="shared" si="105"/>
        <v>1</v>
      </c>
      <c r="H521" t="s">
        <v>31</v>
      </c>
      <c r="I521">
        <f t="shared" si="106"/>
        <v>1</v>
      </c>
      <c r="J521">
        <f t="shared" si="101"/>
        <v>7653</v>
      </c>
      <c r="K521" s="15">
        <f t="shared" si="107"/>
        <v>438</v>
      </c>
      <c r="L521" s="15">
        <f t="shared" si="108"/>
        <v>249</v>
      </c>
      <c r="M521">
        <v>16</v>
      </c>
      <c r="N521">
        <v>20</v>
      </c>
      <c r="O521">
        <v>2</v>
      </c>
      <c r="P521">
        <v>4</v>
      </c>
      <c r="Q521" s="9">
        <v>93</v>
      </c>
      <c r="R521">
        <v>8</v>
      </c>
      <c r="T521" s="11">
        <f t="shared" si="109"/>
        <v>24</v>
      </c>
      <c r="U521" s="11">
        <f t="shared" si="110"/>
        <v>24</v>
      </c>
      <c r="V521" t="str">
        <f t="shared" si="99"/>
        <v>NN5 5QA</v>
      </c>
      <c r="W521" t="str">
        <f t="shared" si="100"/>
        <v>SY2 6ST</v>
      </c>
      <c r="X521" s="12">
        <v>6211</v>
      </c>
      <c r="Y521" s="15">
        <f t="shared" si="102"/>
        <v>24</v>
      </c>
    </row>
    <row r="522" spans="1:25" x14ac:dyDescent="0.2">
      <c r="A522" t="s">
        <v>3</v>
      </c>
      <c r="B522" s="13">
        <v>42842</v>
      </c>
      <c r="C522" s="2" t="str">
        <f t="shared" si="103"/>
        <v>Mon</v>
      </c>
      <c r="D522" t="s">
        <v>14</v>
      </c>
      <c r="E522" t="s">
        <v>7</v>
      </c>
      <c r="F522" t="str">
        <f t="shared" si="104"/>
        <v>E</v>
      </c>
      <c r="G522">
        <f t="shared" si="105"/>
        <v>1</v>
      </c>
      <c r="H522" t="s">
        <v>31</v>
      </c>
      <c r="I522">
        <f t="shared" si="106"/>
        <v>1</v>
      </c>
      <c r="J522">
        <f t="shared" si="101"/>
        <v>12500</v>
      </c>
      <c r="K522" s="15">
        <f t="shared" si="107"/>
        <v>697</v>
      </c>
      <c r="L522" s="15">
        <f t="shared" si="108"/>
        <v>290</v>
      </c>
      <c r="M522">
        <v>10</v>
      </c>
      <c r="N522">
        <v>19</v>
      </c>
      <c r="O522">
        <v>8</v>
      </c>
      <c r="P522">
        <v>1</v>
      </c>
      <c r="Q522" s="9">
        <v>108</v>
      </c>
      <c r="R522">
        <v>11</v>
      </c>
      <c r="T522" s="11">
        <f t="shared" si="109"/>
        <v>20</v>
      </c>
      <c r="U522" s="11">
        <f t="shared" si="110"/>
        <v>21</v>
      </c>
      <c r="V522" t="str">
        <f t="shared" si="99"/>
        <v>OX4 4XP</v>
      </c>
      <c r="W522" t="str">
        <f t="shared" si="100"/>
        <v>ST6 1AW</v>
      </c>
      <c r="X522" s="12">
        <v>7646</v>
      </c>
      <c r="Y522" s="15">
        <f t="shared" si="102"/>
        <v>24</v>
      </c>
    </row>
    <row r="523" spans="1:25" x14ac:dyDescent="0.2">
      <c r="A523" t="s">
        <v>3</v>
      </c>
      <c r="B523" s="13">
        <v>42842</v>
      </c>
      <c r="C523" s="2" t="str">
        <f t="shared" si="103"/>
        <v>Mon</v>
      </c>
      <c r="D523" t="s">
        <v>16</v>
      </c>
      <c r="E523" t="s">
        <v>25</v>
      </c>
      <c r="F523" t="str">
        <f t="shared" si="104"/>
        <v>E</v>
      </c>
      <c r="G523">
        <f t="shared" si="105"/>
        <v>1</v>
      </c>
      <c r="H523" t="s">
        <v>31</v>
      </c>
      <c r="I523">
        <f t="shared" si="106"/>
        <v>1</v>
      </c>
      <c r="J523">
        <f t="shared" si="101"/>
        <v>10249</v>
      </c>
      <c r="K523" s="15">
        <f t="shared" si="107"/>
        <v>1280</v>
      </c>
      <c r="L523" s="15">
        <f t="shared" si="108"/>
        <v>290</v>
      </c>
      <c r="M523">
        <v>8</v>
      </c>
      <c r="N523">
        <v>24</v>
      </c>
      <c r="O523">
        <v>7</v>
      </c>
      <c r="P523">
        <v>7</v>
      </c>
      <c r="Q523" s="9">
        <v>100</v>
      </c>
      <c r="R523">
        <v>9</v>
      </c>
      <c r="T523" s="11">
        <f t="shared" si="109"/>
        <v>17</v>
      </c>
      <c r="U523" s="11">
        <f t="shared" si="110"/>
        <v>22</v>
      </c>
      <c r="V523" t="str">
        <f t="shared" si="99"/>
        <v>OL11 5DR</v>
      </c>
      <c r="W523" t="str">
        <f t="shared" si="100"/>
        <v>CV6 6GE</v>
      </c>
      <c r="X523" s="12">
        <v>3202</v>
      </c>
      <c r="Y523" s="15">
        <f t="shared" si="102"/>
        <v>22</v>
      </c>
    </row>
    <row r="524" spans="1:25" x14ac:dyDescent="0.2">
      <c r="A524" t="s">
        <v>3</v>
      </c>
      <c r="B524" s="13">
        <v>42842</v>
      </c>
      <c r="C524" s="2" t="str">
        <f t="shared" si="103"/>
        <v>Mon</v>
      </c>
      <c r="D524" t="s">
        <v>18</v>
      </c>
      <c r="E524" t="s">
        <v>15</v>
      </c>
      <c r="F524" t="str">
        <f t="shared" si="104"/>
        <v>E</v>
      </c>
      <c r="G524">
        <f t="shared" si="105"/>
        <v>1</v>
      </c>
      <c r="H524" t="s">
        <v>31</v>
      </c>
      <c r="I524">
        <f t="shared" si="106"/>
        <v>1</v>
      </c>
      <c r="J524">
        <f t="shared" si="101"/>
        <v>9183</v>
      </c>
      <c r="K524" s="15">
        <f t="shared" si="107"/>
        <v>583</v>
      </c>
      <c r="L524" s="15">
        <f t="shared" si="108"/>
        <v>288</v>
      </c>
      <c r="M524">
        <v>5</v>
      </c>
      <c r="N524">
        <v>23</v>
      </c>
      <c r="O524">
        <v>9</v>
      </c>
      <c r="P524">
        <v>4</v>
      </c>
      <c r="Q524" s="9">
        <v>49</v>
      </c>
      <c r="R524">
        <v>11</v>
      </c>
      <c r="T524" s="11">
        <f t="shared" si="109"/>
        <v>18</v>
      </c>
      <c r="U524" s="11">
        <f t="shared" si="110"/>
        <v>22</v>
      </c>
      <c r="V524" t="str">
        <f t="shared" si="99"/>
        <v>DN15 8TD</v>
      </c>
      <c r="W524" t="str">
        <f t="shared" si="100"/>
        <v>S41 8NZ</v>
      </c>
      <c r="X524" s="12">
        <v>4636</v>
      </c>
      <c r="Y524" s="15">
        <f t="shared" si="102"/>
        <v>23</v>
      </c>
    </row>
    <row r="525" spans="1:25" x14ac:dyDescent="0.2">
      <c r="A525" t="s">
        <v>3</v>
      </c>
      <c r="B525" s="13">
        <v>42842</v>
      </c>
      <c r="C525" s="2" t="str">
        <f t="shared" si="103"/>
        <v>Mon</v>
      </c>
      <c r="D525" t="s">
        <v>5</v>
      </c>
      <c r="E525" t="s">
        <v>6</v>
      </c>
      <c r="F525" t="str">
        <f t="shared" si="104"/>
        <v>E</v>
      </c>
      <c r="G525">
        <f t="shared" si="105"/>
        <v>1</v>
      </c>
      <c r="H525" t="s">
        <v>31</v>
      </c>
      <c r="I525">
        <f t="shared" si="106"/>
        <v>1</v>
      </c>
      <c r="J525">
        <f t="shared" si="101"/>
        <v>32702</v>
      </c>
      <c r="K525" s="15">
        <f t="shared" si="107"/>
        <v>1437</v>
      </c>
      <c r="L525" s="15">
        <f t="shared" si="108"/>
        <v>288</v>
      </c>
      <c r="M525">
        <v>1</v>
      </c>
      <c r="N525">
        <v>4</v>
      </c>
      <c r="O525">
        <v>13</v>
      </c>
      <c r="P525">
        <v>12</v>
      </c>
      <c r="Q525" s="9">
        <v>36</v>
      </c>
      <c r="R525">
        <v>9</v>
      </c>
      <c r="T525" s="11">
        <f t="shared" si="109"/>
        <v>20</v>
      </c>
      <c r="U525" s="11">
        <f t="shared" si="110"/>
        <v>20</v>
      </c>
      <c r="V525" t="str">
        <f t="shared" si="99"/>
        <v>S2 4SU</v>
      </c>
      <c r="W525" t="str">
        <f t="shared" si="100"/>
        <v>BD8 7DY</v>
      </c>
      <c r="X525" s="12">
        <v>26838</v>
      </c>
      <c r="Y525" s="15">
        <f t="shared" si="102"/>
        <v>29</v>
      </c>
    </row>
    <row r="526" spans="1:25" x14ac:dyDescent="0.2">
      <c r="A526" t="s">
        <v>3</v>
      </c>
      <c r="B526" s="13">
        <v>42842</v>
      </c>
      <c r="C526" s="2" t="str">
        <f t="shared" si="103"/>
        <v>Mon</v>
      </c>
      <c r="D526" t="s">
        <v>22</v>
      </c>
      <c r="E526" t="s">
        <v>21</v>
      </c>
      <c r="F526" t="str">
        <f t="shared" si="104"/>
        <v>E</v>
      </c>
      <c r="G526">
        <f t="shared" si="105"/>
        <v>1</v>
      </c>
      <c r="H526" t="s">
        <v>31</v>
      </c>
      <c r="I526">
        <f t="shared" si="106"/>
        <v>1</v>
      </c>
      <c r="J526">
        <f t="shared" si="101"/>
        <v>12392</v>
      </c>
      <c r="K526" s="15">
        <f t="shared" si="107"/>
        <v>596</v>
      </c>
      <c r="L526" s="15">
        <f t="shared" si="108"/>
        <v>395</v>
      </c>
      <c r="M526">
        <v>7</v>
      </c>
      <c r="N526">
        <v>12</v>
      </c>
      <c r="O526">
        <v>12</v>
      </c>
      <c r="P526">
        <v>8</v>
      </c>
      <c r="Q526" s="9">
        <v>86</v>
      </c>
      <c r="R526">
        <v>9</v>
      </c>
      <c r="T526" s="11">
        <f t="shared" si="109"/>
        <v>25</v>
      </c>
      <c r="U526" s="11">
        <f t="shared" si="110"/>
        <v>22</v>
      </c>
      <c r="V526" t="str">
        <f t="shared" si="99"/>
        <v>SS2 6NQ</v>
      </c>
      <c r="W526" t="str">
        <f t="shared" si="100"/>
        <v>MK1 1ST</v>
      </c>
      <c r="X526" s="12">
        <v>9009</v>
      </c>
      <c r="Y526" s="15">
        <f t="shared" si="102"/>
        <v>25</v>
      </c>
    </row>
    <row r="527" spans="1:25" x14ac:dyDescent="0.2">
      <c r="A527" t="s">
        <v>3</v>
      </c>
      <c r="B527" s="13">
        <v>42842</v>
      </c>
      <c r="C527" s="2" t="str">
        <f t="shared" si="103"/>
        <v>Mon</v>
      </c>
      <c r="D527" t="s">
        <v>26</v>
      </c>
      <c r="E527" t="s">
        <v>24</v>
      </c>
      <c r="F527" t="str">
        <f t="shared" si="104"/>
        <v>E</v>
      </c>
      <c r="G527">
        <f t="shared" si="105"/>
        <v>1</v>
      </c>
      <c r="H527" t="s">
        <v>31</v>
      </c>
      <c r="I527">
        <f t="shared" si="106"/>
        <v>1</v>
      </c>
      <c r="J527">
        <f t="shared" si="101"/>
        <v>11300</v>
      </c>
      <c r="K527" s="15">
        <f t="shared" si="107"/>
        <v>503</v>
      </c>
      <c r="L527" s="15">
        <f t="shared" si="108"/>
        <v>253</v>
      </c>
      <c r="M527">
        <v>14</v>
      </c>
      <c r="N527">
        <v>22</v>
      </c>
      <c r="O527">
        <v>2</v>
      </c>
      <c r="P527">
        <v>8</v>
      </c>
      <c r="Q527" s="9">
        <v>80</v>
      </c>
      <c r="R527">
        <v>9</v>
      </c>
      <c r="T527" s="11">
        <f t="shared" si="109"/>
        <v>20</v>
      </c>
      <c r="U527" s="11">
        <f t="shared" si="110"/>
        <v>20</v>
      </c>
      <c r="V527" t="str">
        <f t="shared" si="99"/>
        <v>WS1 4SA</v>
      </c>
      <c r="W527" t="str">
        <f t="shared" si="100"/>
        <v>SN1 2ED</v>
      </c>
      <c r="X527" s="12">
        <v>5196</v>
      </c>
      <c r="Y527" s="15">
        <f t="shared" si="102"/>
        <v>25.5</v>
      </c>
    </row>
    <row r="528" spans="1:25" x14ac:dyDescent="0.2">
      <c r="A528" t="s">
        <v>3</v>
      </c>
      <c r="B528" s="13">
        <v>42843</v>
      </c>
      <c r="C528" s="2" t="str">
        <f t="shared" si="103"/>
        <v>Tue</v>
      </c>
      <c r="D528" t="s">
        <v>4</v>
      </c>
      <c r="E528" t="s">
        <v>8</v>
      </c>
      <c r="F528" t="str">
        <f t="shared" si="104"/>
        <v>E</v>
      </c>
      <c r="G528">
        <f t="shared" si="105"/>
        <v>1</v>
      </c>
      <c r="H528" t="s">
        <v>32</v>
      </c>
      <c r="I528">
        <f t="shared" si="106"/>
        <v>0</v>
      </c>
      <c r="J528">
        <f t="shared" si="101"/>
        <v>28723</v>
      </c>
      <c r="K528" s="15">
        <f t="shared" si="107"/>
        <v>608</v>
      </c>
      <c r="L528" s="15">
        <f t="shared" si="108"/>
        <v>280</v>
      </c>
      <c r="M528">
        <v>2</v>
      </c>
      <c r="N528">
        <v>21</v>
      </c>
      <c r="O528">
        <v>7</v>
      </c>
      <c r="P528">
        <v>2</v>
      </c>
      <c r="Q528" s="9">
        <v>23</v>
      </c>
      <c r="R528">
        <v>9</v>
      </c>
      <c r="T528" s="11">
        <f t="shared" si="109"/>
        <v>15</v>
      </c>
      <c r="U528" s="11">
        <f t="shared" si="110"/>
        <v>15</v>
      </c>
      <c r="V528" t="str">
        <f t="shared" si="99"/>
        <v>BL6 6JW</v>
      </c>
      <c r="W528" t="str">
        <f t="shared" si="100"/>
        <v>BL9 9HR</v>
      </c>
      <c r="X528" s="12">
        <v>18223</v>
      </c>
      <c r="Y528" s="15">
        <f t="shared" si="102"/>
        <v>30</v>
      </c>
    </row>
    <row r="529" spans="1:25" x14ac:dyDescent="0.2">
      <c r="A529" t="s">
        <v>3</v>
      </c>
      <c r="B529" s="13">
        <v>42847</v>
      </c>
      <c r="C529" s="2" t="str">
        <f t="shared" si="103"/>
        <v>Sat</v>
      </c>
      <c r="D529" t="s">
        <v>6</v>
      </c>
      <c r="E529" t="s">
        <v>27</v>
      </c>
      <c r="F529" t="str">
        <f t="shared" si="104"/>
        <v>D</v>
      </c>
      <c r="G529">
        <f t="shared" si="105"/>
        <v>0</v>
      </c>
      <c r="H529" t="s">
        <v>32</v>
      </c>
      <c r="I529">
        <f t="shared" si="106"/>
        <v>0</v>
      </c>
      <c r="J529">
        <f t="shared" si="101"/>
        <v>25136</v>
      </c>
      <c r="K529" s="15">
        <f t="shared" si="107"/>
        <v>622</v>
      </c>
      <c r="L529" s="15">
        <f t="shared" si="108"/>
        <v>149</v>
      </c>
      <c r="M529">
        <v>5</v>
      </c>
      <c r="N529">
        <v>14</v>
      </c>
      <c r="O529">
        <v>5</v>
      </c>
      <c r="P529">
        <v>5</v>
      </c>
      <c r="Q529" s="9">
        <v>199</v>
      </c>
      <c r="R529">
        <v>5</v>
      </c>
      <c r="S529" t="s">
        <v>68</v>
      </c>
      <c r="T529" s="11">
        <f t="shared" si="109"/>
        <v>25</v>
      </c>
      <c r="U529" s="11">
        <f t="shared" si="110"/>
        <v>20</v>
      </c>
      <c r="V529" t="str">
        <f t="shared" si="99"/>
        <v>BD8 7DY</v>
      </c>
      <c r="W529" t="str">
        <f t="shared" si="100"/>
        <v>KT1 3PB</v>
      </c>
      <c r="X529" s="12">
        <v>18615</v>
      </c>
      <c r="Y529" s="15">
        <f t="shared" si="102"/>
        <v>25</v>
      </c>
    </row>
    <row r="530" spans="1:25" x14ac:dyDescent="0.2">
      <c r="A530" t="s">
        <v>3</v>
      </c>
      <c r="B530" s="13">
        <v>42847</v>
      </c>
      <c r="C530" s="2" t="str">
        <f t="shared" ref="C530:C553" si="111">TEXT(B530,"ddd")</f>
        <v>Sat</v>
      </c>
      <c r="D530" t="s">
        <v>8</v>
      </c>
      <c r="E530" t="s">
        <v>12</v>
      </c>
      <c r="F530" t="str">
        <f t="shared" ref="F530:F552" si="112">IF(C530="Sat","D",IF(C530="Sun","D","E"))</f>
        <v>D</v>
      </c>
      <c r="G530">
        <f t="shared" si="105"/>
        <v>0</v>
      </c>
      <c r="H530" t="s">
        <v>32</v>
      </c>
      <c r="I530">
        <f t="shared" si="106"/>
        <v>0</v>
      </c>
      <c r="J530">
        <f t="shared" ref="J530:J537" si="113">IF(D530="AFC Wimbledon",4850,IF(D530="Bolton",28723,IF(D530="Bradford",25136,IF(D530="Bury",11841,IF(D530="Millwall",20146,IF(D530="Northampton",7653,IF(D530="Oxford",12500,IF(D530="Rochdale",10249,IF(D530="Scunthorpe",9183,IF(D530="Shrewsbury",9875,IF(D530="Southend",12392,IF(D530="Swindon",15728,IF(D530="Walsall",11300,IF(D530="Charlton",26875,IF(D530="Chesterfield",10504,IF(D530="Coventry",32609,IF(D530="Fleetwood Town",5327,IF(D530="Gillingham",11582,IF(D530="Milton Keynes Dons",30500,IF(D530="Oldham",13559,IF(D530="Peterboro",15314,IF(D530="Port Vale",18947,IF(D530="Sheffield United",32702,IF(D530="Bristol Rvs",12000))))))))))))))))))))))))</f>
        <v>11841</v>
      </c>
      <c r="K530" s="15">
        <f t="shared" ref="K530:K553" si="114">IF(E530="AFC Wimbledon",622,IF(E530="Bolton",912,IF(E530="Bury",608,IF(E530="Bradford",1437,IF(E530="Bristol Rvs",1159,IF(E530="Charlton",680,IF(E530="Chesterfield",583,IF(E530="Coventry",1280,IF(E530="Gillingham",533,IF(E530="Millwall",827,IF(E530="Milton Keynes Dons",596,IF(E530="Northampton",843,IF(E530="Oldham",729,IF(E530="Oxford",1000,IF(E530="Peterboro",598,IF(E530="Port Vale",697,IF(E530="Rochdale",497,IF(E530="Scunthorpe",508,IF(E530="Sheffield United",1622,IF(E530="Southend",635,IF(E530="Shrewsbury",438,IF(E530="Swindon",503,IF(E530="Walsall",792,IF(E530="Fleetwood Town",210,"Unknown"))))))))))))))))))))))))</f>
        <v>843</v>
      </c>
      <c r="L530" s="15">
        <f t="shared" ref="L530:L553" si="115">IF(D530="AFC Wimbledon",260,IF(D530="Bolton",280,IF(D530="Bury",275,IF(D530="Bradford",149,IF(D530="Bristol Rvs",260,IF(D530="Charlton",175,IF(D530="Chesterfield",345,IF(D530="Coventry",299,IF(D530="Gillingham",285,IF(D530="Millwall",333,IF(D530="Milton Keynes Dons",312,IF(D530="Northampton",249,IF(D530="Oldham",300,IF(D530="Oxford",290,IF(D530="Peterboro",295,IF(D530="Port Vale",345,IF(D530="Rochdale",290,IF(D530="Scunthorpe",288,IF(D530="Sheffield United",288,IF(D530="Southend",395,IF(D530="Shrewsbury",285,IF(D530="Swindon",345,IF(D530="Walsall",253,IF(D530="Fleetwood Town",210,"Unknown"))))))))))))))))))))))))</f>
        <v>275</v>
      </c>
      <c r="M530">
        <v>21</v>
      </c>
      <c r="N530">
        <v>16</v>
      </c>
      <c r="O530">
        <v>2</v>
      </c>
      <c r="P530">
        <v>3</v>
      </c>
      <c r="Q530" s="9">
        <v>149</v>
      </c>
      <c r="R530">
        <v>12</v>
      </c>
      <c r="T530" s="11">
        <f t="shared" ref="T530:T538" si="116">IF(D530="AFC Wimbledon",17,IF(D530="Bolton",15,IF(D530="Bury",18,IF(D530="Bradford",25,IF(D530="Bristol Rvs",18,IF(D530="Charlton",20,IF(D530="Chesterfield",22,IF(D530="Coventry",22,IF(D530="Gillingham",12,IF(D530="Millwall",22,IF(D530="Milton Keynes Dons",22,IF(D530="Northampton",24,IF(D530="Oldham",22,IF(D530="Oxford",20,IF(D530="Peterboro",21,IF(D530="Port Vale",22,IF(D530="Rochdale",17,IF(D530="Scunthorpe",18,IF(D530="Sheffield United",20,IF(D530="Southend",25,IF(D530="Shrewsbury",20,IF(D530="Swindon",19,IF(D530="Walsall",20,IF(D530="Fleetwood Town",21.5,"Unknown"))))))))))))))))))))))))</f>
        <v>18</v>
      </c>
      <c r="U530" s="11">
        <f t="shared" ref="U530:U538" si="117">IF(D530="AFC Wimbledon",17,IF(D530="Bolton",15,IF(D530="Bury",18,IF(D530="Bradford",20,IF(D530="Bristol Rvs",16,IF(D530="Charlton",20,IF(D530="Chesterfield",20,IF(D530="Coventry",22,IF(D530="Gillingham",10,IF(D530="Millwall",23,IF(D530="Milton Keynes Dons",22,IF(D530="Northampton",24,IF(D530="Oldham",24,IF(D530="Oxford",21,IF(D530="Peterboro",20,IF(D530="Port Vale",22,IF(D530="Rochdale",22,IF(D530="Scunthorpe",22,IF(D530="Sheffield United",20,IF(D530="Southend",22,IF(D530="Shrewsbury",20,IF(D530="Swindon",19,IF(D530="Walsall",20,IF(D530="Fleetwood Town",21.5,"Unknown"))))))))))))))))))))))))</f>
        <v>18</v>
      </c>
      <c r="V530" t="str">
        <f t="shared" ref="V530:V538" si="118">IF(D530="Bolton","BL6 6JW",IF(D530="Bradford","BD8 7DY",IF(D530="Bury","BL9 9HR",IF(D530="Millwall","SE16 3LN",IF(D530="Northampton","NN5 5QA",IF(D530="Oxford","OX4 4XP",IF(D530="Rochdale","OL11 5DR",IF(D530="Scunthorpe","DN15 8TD",IF(D530="Shrewsbury","SY2 6ST",IF(D530="Southend","SS2 6NQ",IF(D530="Swindon","SN1 2ED",IF(D530="Walsall","WS1 4SA",IF(D530="Sheffield United","S2 4SU",IF(D530="Port Vale","ST6 1AW",IF(D530="Charlton","SE7 8BL",IF(D530="Oldham","OL1 2PA",IF(D530="Fleetwood Town","FY7 6TX",IF(D530="Chesterfield","S41 8NZ",IF(D530="Peterboro","PE2 8AL",IF(D530="Bristol Rvs","BS7 0BF",IF(D530="Milton Keynes Dons","MK1 1ST",IF(D530="Gillingham","ME7 4DD",IF(D530="Coventry","CV6 6GE",IF(D530="AFC Wimbledon","KT1 3PB"))))))))))))))))))))))))</f>
        <v>BL9 9HR</v>
      </c>
      <c r="W530" t="str">
        <f t="shared" ref="W530:W538" si="119">IF(E530="Bolton","BL6 6JW",IF(E530="Bradford","BD8 7DY",IF(E530="Bury","BL9 9HR",IF(E530="Millwall","SE16 3LN",IF(E530="Northampton","NN5 5QA",IF(E530="Oxford","OX4 4XP",IF(E530="Rochdale","OL11 5DR",IF(E530="Scunthorpe","DN15 8TD",IF(E530="Shrewsbury","SY2 6ST",IF(E530="Southend","SS2 6NQ",IF(E530="Swindon","SN1 2ED",IF(E530="Walsall","WS1 4SA",IF(E530="Sheffield United","S2 4SU",IF(E530="Port Vale","ST6 1AW",IF(E530="Charlton","SE7 8BL",IF(E530="Oldham","OL1 2PA",IF(E530="Fleetwood Town","FY7 6TX",IF(E530="Chesterfield","S41 8NZ",IF(E530="Peterboro","PE2 8AL",IF(E530="Bristol Rvs","BS7 0BF",IF(E530="Milton Keynes Dons","MK1 1ST",IF(E530="Gillingham","ME7 4DD",IF(E530="Coventry","CV6 6GE",IF(E530="AFC Wimbledon","KT1 3PB"))))))))))))))))))))))))</f>
        <v>NN5 5QA</v>
      </c>
      <c r="X530" s="12">
        <v>5190</v>
      </c>
      <c r="Y530" s="15">
        <f t="shared" si="102"/>
        <v>22</v>
      </c>
    </row>
    <row r="531" spans="1:25" x14ac:dyDescent="0.2">
      <c r="A531" t="s">
        <v>3</v>
      </c>
      <c r="B531" s="13">
        <v>42847</v>
      </c>
      <c r="C531" s="2" t="str">
        <f t="shared" si="111"/>
        <v>Sat</v>
      </c>
      <c r="D531" t="s">
        <v>15</v>
      </c>
      <c r="E531" t="s">
        <v>9</v>
      </c>
      <c r="F531" t="str">
        <f t="shared" si="112"/>
        <v>D</v>
      </c>
      <c r="G531">
        <f t="shared" si="105"/>
        <v>0</v>
      </c>
      <c r="H531" t="s">
        <v>32</v>
      </c>
      <c r="I531">
        <f t="shared" si="106"/>
        <v>0</v>
      </c>
      <c r="J531">
        <f t="shared" si="113"/>
        <v>10504</v>
      </c>
      <c r="K531" s="15">
        <f t="shared" si="114"/>
        <v>680</v>
      </c>
      <c r="L531" s="15">
        <f t="shared" si="115"/>
        <v>345</v>
      </c>
      <c r="M531">
        <v>23</v>
      </c>
      <c r="N531">
        <v>15</v>
      </c>
      <c r="O531">
        <v>4</v>
      </c>
      <c r="P531">
        <v>7</v>
      </c>
      <c r="Q531" s="9">
        <v>105</v>
      </c>
      <c r="R531">
        <v>12</v>
      </c>
      <c r="T531" s="11">
        <f t="shared" si="116"/>
        <v>22</v>
      </c>
      <c r="U531" s="11">
        <f t="shared" si="117"/>
        <v>20</v>
      </c>
      <c r="V531" t="str">
        <f t="shared" si="118"/>
        <v>S41 8NZ</v>
      </c>
      <c r="W531" t="str">
        <f t="shared" si="119"/>
        <v>SE7 8BL</v>
      </c>
      <c r="X531" s="12">
        <v>5657</v>
      </c>
      <c r="Y531" s="15">
        <f t="shared" si="102"/>
        <v>26</v>
      </c>
    </row>
    <row r="532" spans="1:25" x14ac:dyDescent="0.2">
      <c r="A532" t="s">
        <v>3</v>
      </c>
      <c r="B532" s="13">
        <v>42847</v>
      </c>
      <c r="C532" s="2" t="str">
        <f t="shared" si="111"/>
        <v>Sat</v>
      </c>
      <c r="D532" t="s">
        <v>25</v>
      </c>
      <c r="E532" t="s">
        <v>26</v>
      </c>
      <c r="F532" t="str">
        <f t="shared" si="112"/>
        <v>D</v>
      </c>
      <c r="G532">
        <f t="shared" si="105"/>
        <v>0</v>
      </c>
      <c r="H532" t="s">
        <v>32</v>
      </c>
      <c r="I532">
        <f t="shared" si="106"/>
        <v>0</v>
      </c>
      <c r="J532">
        <f t="shared" si="113"/>
        <v>32609</v>
      </c>
      <c r="K532" s="15">
        <f t="shared" si="114"/>
        <v>792</v>
      </c>
      <c r="L532" s="15">
        <f t="shared" si="115"/>
        <v>299</v>
      </c>
      <c r="M532">
        <v>24</v>
      </c>
      <c r="N532">
        <v>13</v>
      </c>
      <c r="O532">
        <v>7</v>
      </c>
      <c r="P532">
        <v>5</v>
      </c>
      <c r="Q532" s="9">
        <v>31</v>
      </c>
      <c r="R532">
        <v>14</v>
      </c>
      <c r="T532" s="11">
        <f t="shared" si="116"/>
        <v>22</v>
      </c>
      <c r="U532" s="11">
        <f t="shared" si="117"/>
        <v>22</v>
      </c>
      <c r="V532" t="str">
        <f t="shared" si="118"/>
        <v>CV6 6GE</v>
      </c>
      <c r="W532" t="str">
        <f t="shared" si="119"/>
        <v>WS1 4SA</v>
      </c>
      <c r="X532" s="12">
        <v>9284</v>
      </c>
      <c r="Y532" s="15">
        <f t="shared" si="102"/>
        <v>26</v>
      </c>
    </row>
    <row r="533" spans="1:25" x14ac:dyDescent="0.2">
      <c r="A533" t="s">
        <v>3</v>
      </c>
      <c r="B533" s="13">
        <v>42847</v>
      </c>
      <c r="C533" s="2" t="str">
        <f t="shared" si="111"/>
        <v>Sat</v>
      </c>
      <c r="D533" t="s">
        <v>23</v>
      </c>
      <c r="E533" t="s">
        <v>13</v>
      </c>
      <c r="F533" t="str">
        <f t="shared" si="112"/>
        <v>D</v>
      </c>
      <c r="G533">
        <f t="shared" si="105"/>
        <v>0</v>
      </c>
      <c r="H533" t="s">
        <v>32</v>
      </c>
      <c r="I533">
        <f t="shared" si="106"/>
        <v>0</v>
      </c>
      <c r="J533">
        <f t="shared" si="113"/>
        <v>11582</v>
      </c>
      <c r="K533" s="15">
        <f t="shared" si="114"/>
        <v>210</v>
      </c>
      <c r="L533" s="15">
        <f t="shared" si="115"/>
        <v>285</v>
      </c>
      <c r="M533">
        <v>18</v>
      </c>
      <c r="N533">
        <v>3</v>
      </c>
      <c r="O533">
        <v>4</v>
      </c>
      <c r="P533">
        <v>9</v>
      </c>
      <c r="Q533" s="9">
        <v>311</v>
      </c>
      <c r="R533">
        <v>16</v>
      </c>
      <c r="T533" s="11">
        <f t="shared" si="116"/>
        <v>12</v>
      </c>
      <c r="U533" s="11">
        <f t="shared" si="117"/>
        <v>10</v>
      </c>
      <c r="V533" t="str">
        <f t="shared" si="118"/>
        <v>ME7 4DD</v>
      </c>
      <c r="W533" t="str">
        <f t="shared" si="119"/>
        <v>FY7 6TX</v>
      </c>
      <c r="X533" s="12">
        <v>8760</v>
      </c>
      <c r="Y533" s="15">
        <f t="shared" si="102"/>
        <v>28</v>
      </c>
    </row>
    <row r="534" spans="1:25" x14ac:dyDescent="0.2">
      <c r="A534" t="s">
        <v>3</v>
      </c>
      <c r="B534" s="13">
        <v>42847</v>
      </c>
      <c r="C534" s="2" t="str">
        <f t="shared" si="111"/>
        <v>Sat</v>
      </c>
      <c r="D534" t="s">
        <v>10</v>
      </c>
      <c r="E534" t="s">
        <v>14</v>
      </c>
      <c r="F534" t="str">
        <f t="shared" si="112"/>
        <v>D</v>
      </c>
      <c r="G534">
        <f t="shared" si="105"/>
        <v>0</v>
      </c>
      <c r="H534" t="s">
        <v>32</v>
      </c>
      <c r="I534">
        <f t="shared" si="106"/>
        <v>0</v>
      </c>
      <c r="J534">
        <f t="shared" si="113"/>
        <v>20146</v>
      </c>
      <c r="K534" s="15">
        <f t="shared" si="114"/>
        <v>1000</v>
      </c>
      <c r="L534" s="15">
        <f t="shared" si="115"/>
        <v>333</v>
      </c>
      <c r="M534">
        <v>6</v>
      </c>
      <c r="N534">
        <v>10</v>
      </c>
      <c r="O534">
        <v>10</v>
      </c>
      <c r="P534">
        <v>8</v>
      </c>
      <c r="Q534" s="9">
        <v>202</v>
      </c>
      <c r="R534">
        <v>14</v>
      </c>
      <c r="T534" s="11">
        <f t="shared" si="116"/>
        <v>22</v>
      </c>
      <c r="U534" s="11">
        <f t="shared" si="117"/>
        <v>23</v>
      </c>
      <c r="V534" t="str">
        <f t="shared" si="118"/>
        <v>SE16 3LN</v>
      </c>
      <c r="W534" t="str">
        <f t="shared" si="119"/>
        <v>OX4 4XP</v>
      </c>
      <c r="X534" s="12">
        <v>12533</v>
      </c>
      <c r="Y534" s="15">
        <f t="shared" si="102"/>
        <v>30</v>
      </c>
    </row>
    <row r="535" spans="1:25" x14ac:dyDescent="0.2">
      <c r="A535" t="s">
        <v>3</v>
      </c>
      <c r="B535" s="13">
        <v>42847</v>
      </c>
      <c r="C535" s="2" t="str">
        <f t="shared" si="111"/>
        <v>Sat</v>
      </c>
      <c r="D535" t="s">
        <v>21</v>
      </c>
      <c r="E535" t="s">
        <v>5</v>
      </c>
      <c r="F535" t="str">
        <f t="shared" si="112"/>
        <v>D</v>
      </c>
      <c r="G535">
        <f t="shared" si="105"/>
        <v>0</v>
      </c>
      <c r="H535" t="s">
        <v>32</v>
      </c>
      <c r="I535">
        <f t="shared" si="106"/>
        <v>0</v>
      </c>
      <c r="J535">
        <f t="shared" si="113"/>
        <v>30500</v>
      </c>
      <c r="K535" s="15">
        <f t="shared" si="114"/>
        <v>1622</v>
      </c>
      <c r="L535" s="15">
        <f t="shared" si="115"/>
        <v>312</v>
      </c>
      <c r="M535">
        <v>12</v>
      </c>
      <c r="N535">
        <v>1</v>
      </c>
      <c r="O535">
        <v>10</v>
      </c>
      <c r="P535">
        <v>15</v>
      </c>
      <c r="Q535" s="9">
        <v>119</v>
      </c>
      <c r="R535">
        <v>14</v>
      </c>
      <c r="T535" s="11">
        <f t="shared" si="116"/>
        <v>22</v>
      </c>
      <c r="U535" s="11">
        <f t="shared" si="117"/>
        <v>22</v>
      </c>
      <c r="V535" t="str">
        <f t="shared" si="118"/>
        <v>MK1 1ST</v>
      </c>
      <c r="W535" t="str">
        <f t="shared" si="119"/>
        <v>S2 4SU</v>
      </c>
      <c r="X535" s="12">
        <v>18180</v>
      </c>
      <c r="Y535" s="15">
        <f t="shared" si="102"/>
        <v>27</v>
      </c>
    </row>
    <row r="536" spans="1:25" x14ac:dyDescent="0.2">
      <c r="A536" t="s">
        <v>3</v>
      </c>
      <c r="B536" s="13">
        <v>42847</v>
      </c>
      <c r="C536" s="2" t="str">
        <f t="shared" si="111"/>
        <v>Sat</v>
      </c>
      <c r="D536" t="s">
        <v>11</v>
      </c>
      <c r="E536" t="s">
        <v>16</v>
      </c>
      <c r="F536" t="str">
        <f t="shared" si="112"/>
        <v>D</v>
      </c>
      <c r="G536">
        <f t="shared" si="105"/>
        <v>0</v>
      </c>
      <c r="H536" t="s">
        <v>32</v>
      </c>
      <c r="I536">
        <f t="shared" si="106"/>
        <v>0</v>
      </c>
      <c r="J536">
        <f t="shared" si="113"/>
        <v>13559</v>
      </c>
      <c r="K536" s="15">
        <f t="shared" si="114"/>
        <v>497</v>
      </c>
      <c r="L536" s="15">
        <f t="shared" si="115"/>
        <v>300</v>
      </c>
      <c r="M536">
        <v>17</v>
      </c>
      <c r="N536">
        <v>8</v>
      </c>
      <c r="O536">
        <v>7</v>
      </c>
      <c r="P536">
        <v>10</v>
      </c>
      <c r="Q536" s="9">
        <v>7</v>
      </c>
      <c r="R536">
        <v>11</v>
      </c>
      <c r="T536" s="11">
        <f t="shared" si="116"/>
        <v>22</v>
      </c>
      <c r="U536" s="11">
        <f t="shared" si="117"/>
        <v>24</v>
      </c>
      <c r="V536" t="str">
        <f t="shared" si="118"/>
        <v>OL1 2PA</v>
      </c>
      <c r="W536" t="str">
        <f t="shared" si="119"/>
        <v>OL11 5DR</v>
      </c>
      <c r="X536" s="12">
        <v>6865</v>
      </c>
      <c r="Y536" s="15">
        <f t="shared" si="102"/>
        <v>24</v>
      </c>
    </row>
    <row r="537" spans="1:25" x14ac:dyDescent="0.2">
      <c r="A537" t="s">
        <v>3</v>
      </c>
      <c r="B537" s="13">
        <v>42847</v>
      </c>
      <c r="C537" s="2" t="str">
        <f t="shared" si="111"/>
        <v>Sat</v>
      </c>
      <c r="D537" t="s">
        <v>17</v>
      </c>
      <c r="E537" t="s">
        <v>19</v>
      </c>
      <c r="F537" t="str">
        <f t="shared" si="112"/>
        <v>D</v>
      </c>
      <c r="G537">
        <f t="shared" si="105"/>
        <v>0</v>
      </c>
      <c r="H537" t="s">
        <v>32</v>
      </c>
      <c r="I537">
        <f t="shared" si="106"/>
        <v>0</v>
      </c>
      <c r="J537">
        <f t="shared" si="113"/>
        <v>15314</v>
      </c>
      <c r="K537" s="15">
        <f t="shared" si="114"/>
        <v>1159</v>
      </c>
      <c r="L537" s="15">
        <f t="shared" si="115"/>
        <v>295</v>
      </c>
      <c r="M537">
        <v>11</v>
      </c>
      <c r="N537">
        <v>9</v>
      </c>
      <c r="O537">
        <v>7</v>
      </c>
      <c r="P537">
        <v>9</v>
      </c>
      <c r="Q537" s="9">
        <v>159</v>
      </c>
      <c r="R537">
        <v>9</v>
      </c>
      <c r="T537" s="11">
        <f t="shared" si="116"/>
        <v>21</v>
      </c>
      <c r="U537" s="11">
        <f t="shared" si="117"/>
        <v>20</v>
      </c>
      <c r="V537" t="str">
        <f t="shared" si="118"/>
        <v>PE2 8AL</v>
      </c>
      <c r="W537" t="str">
        <f t="shared" si="119"/>
        <v>BS7 0BF</v>
      </c>
      <c r="X537" s="12">
        <v>5498</v>
      </c>
      <c r="Y537" s="15">
        <f t="shared" si="102"/>
        <v>26</v>
      </c>
    </row>
    <row r="538" spans="1:25" x14ac:dyDescent="0.2">
      <c r="A538" t="s">
        <v>3</v>
      </c>
      <c r="B538" s="13">
        <v>42847</v>
      </c>
      <c r="C538" s="2" t="str">
        <f t="shared" si="111"/>
        <v>Sat</v>
      </c>
      <c r="D538" t="s">
        <v>7</v>
      </c>
      <c r="E538" t="s">
        <v>4</v>
      </c>
      <c r="F538" t="str">
        <f t="shared" si="112"/>
        <v>D</v>
      </c>
      <c r="G538">
        <f t="shared" si="105"/>
        <v>0</v>
      </c>
      <c r="H538" t="s">
        <v>32</v>
      </c>
      <c r="I538">
        <f t="shared" si="106"/>
        <v>0</v>
      </c>
      <c r="J538">
        <f t="shared" ref="J538:J553" si="120">IF(D538="AFC Wimbledon",4850,IF(D538="Bolton",28723,IF(D538="Bradford",25136,IF(D538="Bury",11841,IF(D538="Millwall",20146,IF(D538="Northampton",7653,IF(D538="Oxford",12500,IF(D538="Rochdale",10249,IF(D538="Scunthorpe",9183,IF(D538="Shrewsbury",9875,IF(D538="Southend",12392,IF(D538="Swindon",15728,IF(D538="Walsall",11300,IF(D538="Charlton",26875,IF(D538="Chesterfield",10504,IF(D538="Coventry",32609,IF(D538="Fleetwood Town",5327,IF(D538="Gillingham",11582,IF(D538="Milton Keynes Dons",30500,IF(D538="Oldham",13559,IF(D538="Peterboro",15314,IF(D538="Port Vale",18947,IF(D538="Sheffield United",32702,IF(D538="Bristol Rvs",12000))))))))))))))))))))))))</f>
        <v>18947</v>
      </c>
      <c r="K538" s="15">
        <f t="shared" si="114"/>
        <v>912</v>
      </c>
      <c r="L538" s="15">
        <f t="shared" si="115"/>
        <v>345</v>
      </c>
      <c r="M538">
        <v>20</v>
      </c>
      <c r="N538">
        <v>2</v>
      </c>
      <c r="O538">
        <v>3</v>
      </c>
      <c r="P538">
        <v>7</v>
      </c>
      <c r="Q538" s="9">
        <v>58</v>
      </c>
      <c r="R538">
        <v>13</v>
      </c>
      <c r="T538" s="11">
        <f t="shared" si="116"/>
        <v>22</v>
      </c>
      <c r="U538" s="11">
        <f t="shared" si="117"/>
        <v>22</v>
      </c>
      <c r="V538" t="str">
        <f t="shared" si="118"/>
        <v>ST6 1AW</v>
      </c>
      <c r="W538" t="str">
        <f t="shared" si="119"/>
        <v>BL6 6JW</v>
      </c>
      <c r="X538" s="12">
        <v>8890</v>
      </c>
      <c r="Y538" s="15">
        <f t="shared" si="102"/>
        <v>23</v>
      </c>
    </row>
    <row r="539" spans="1:25" x14ac:dyDescent="0.2">
      <c r="A539" t="s">
        <v>3</v>
      </c>
      <c r="B539" s="13">
        <v>42847</v>
      </c>
      <c r="C539" s="2" t="str">
        <f t="shared" si="111"/>
        <v>Sat</v>
      </c>
      <c r="D539" t="s">
        <v>20</v>
      </c>
      <c r="E539" t="s">
        <v>22</v>
      </c>
      <c r="F539" t="str">
        <f t="shared" si="112"/>
        <v>D</v>
      </c>
      <c r="G539">
        <f t="shared" si="105"/>
        <v>0</v>
      </c>
      <c r="H539" t="s">
        <v>32</v>
      </c>
      <c r="I539">
        <f t="shared" si="106"/>
        <v>0</v>
      </c>
      <c r="J539">
        <f t="shared" si="120"/>
        <v>9875</v>
      </c>
      <c r="K539" s="15">
        <f t="shared" si="114"/>
        <v>635</v>
      </c>
      <c r="L539" s="15">
        <f t="shared" si="115"/>
        <v>285</v>
      </c>
      <c r="M539">
        <v>19</v>
      </c>
      <c r="N539">
        <v>7</v>
      </c>
      <c r="O539">
        <v>5</v>
      </c>
      <c r="P539">
        <v>6</v>
      </c>
      <c r="Q539" s="9">
        <v>114</v>
      </c>
      <c r="R539">
        <v>12</v>
      </c>
      <c r="T539" s="11">
        <f t="shared" ref="T539:T553" si="121">IF(D539="AFC Wimbledon",17,IF(D539="Bolton",15,IF(D539="Bury",18,IF(D539="Bradford",25,IF(D539="Bristol Rvs",18,IF(D539="Charlton",20,IF(D539="Chesterfield",22,IF(D539="Coventry",22,IF(D539="Gillingham",12,IF(D539="Millwall",22,IF(D539="Milton Keynes Dons",22,IF(D539="Northampton",24,IF(D539="Oldham",22,IF(D539="Oxford",20,IF(D539="Peterboro",21,IF(D539="Port Vale",22,IF(D539="Rochdale",17,IF(D539="Scunthorpe",18,IF(D539="Sheffield United",20,IF(D539="Southend",25,IF(D539="Shrewsbury",20,IF(D539="Swindon",19,IF(D539="Walsall",20,IF(D539="Fleetwood Town",21.5,"Unknown"))))))))))))))))))))))))</f>
        <v>20</v>
      </c>
      <c r="U539" s="11">
        <f t="shared" ref="U539:U553" si="122">IF(D539="AFC Wimbledon",17,IF(D539="Bolton",15,IF(D539="Bury",18,IF(D539="Bradford",20,IF(D539="Bristol Rvs",16,IF(D539="Charlton",20,IF(D539="Chesterfield",20,IF(D539="Coventry",22,IF(D539="Gillingham",10,IF(D539="Millwall",23,IF(D539="Milton Keynes Dons",22,IF(D539="Northampton",24,IF(D539="Oldham",24,IF(D539="Oxford",21,IF(D539="Peterboro",20,IF(D539="Port Vale",22,IF(D539="Rochdale",22,IF(D539="Scunthorpe",22,IF(D539="Sheffield United",20,IF(D539="Southend",22,IF(D539="Shrewsbury",20,IF(D539="Swindon",19,IF(D539="Walsall",20,IF(D539="Fleetwood Town",21.5,"Unknown"))))))))))))))))))))))))</f>
        <v>20</v>
      </c>
      <c r="V539" t="str">
        <f t="shared" ref="V539:V553" si="123">IF(D539="Bolton","BL6 6JW",IF(D539="Bradford","BD8 7DY",IF(D539="Bury","BL9 9HR",IF(D539="Millwall","SE16 3LN",IF(D539="Northampton","NN5 5QA",IF(D539="Oxford","OX4 4XP",IF(D539="Rochdale","OL11 5DR",IF(D539="Scunthorpe","DN15 8TD",IF(D539="Shrewsbury","SY2 6ST",IF(D539="Southend","SS2 6NQ",IF(D539="Swindon","SN1 2ED",IF(D539="Walsall","WS1 4SA",IF(D539="Sheffield United","S2 4SU",IF(D539="Port Vale","ST6 1AW",IF(D539="Charlton","SE7 8BL",IF(D539="Oldham","OL1 2PA",IF(D539="Fleetwood Town","FY7 6TX",IF(D539="Chesterfield","S41 8NZ",IF(D539="Peterboro","PE2 8AL",IF(D539="Bristol Rvs","BS7 0BF",IF(D539="Milton Keynes Dons","MK1 1ST",IF(D539="Gillingham","ME7 4DD",IF(D539="Coventry","CV6 6GE",IF(D539="AFC Wimbledon","KT1 3PB"))))))))))))))))))))))))</f>
        <v>SY2 6ST</v>
      </c>
      <c r="W539" t="str">
        <f t="shared" ref="W539:W553" si="124">IF(E539="Bolton","BL6 6JW",IF(E539="Bradford","BD8 7DY",IF(E539="Bury","BL9 9HR",IF(E539="Millwall","SE16 3LN",IF(E539="Northampton","NN5 5QA",IF(E539="Oxford","OX4 4XP",IF(E539="Rochdale","OL11 5DR",IF(E539="Scunthorpe","DN15 8TD",IF(E539="Shrewsbury","SY2 6ST",IF(E539="Southend","SS2 6NQ",IF(E539="Swindon","SN1 2ED",IF(E539="Walsall","WS1 4SA",IF(E539="Sheffield United","S2 4SU",IF(E539="Port Vale","ST6 1AW",IF(E539="Charlton","SE7 8BL",IF(E539="Oldham","OL1 2PA",IF(E539="Fleetwood Town","FY7 6TX",IF(E539="Chesterfield","S41 8NZ",IF(E539="Peterboro","PE2 8AL",IF(E539="Bristol Rvs","BS7 0BF",IF(E539="Milton Keynes Dons","MK1 1ST",IF(E539="Gillingham","ME7 4DD",IF(E539="Coventry","CV6 6GE",IF(E539="AFC Wimbledon","KT1 3PB"))))))))))))))))))))))))</f>
        <v>SS2 6NQ</v>
      </c>
      <c r="X539" s="12">
        <v>7341</v>
      </c>
      <c r="Y539" s="15">
        <f t="shared" si="102"/>
        <v>22</v>
      </c>
    </row>
    <row r="540" spans="1:25" x14ac:dyDescent="0.2">
      <c r="A540" t="s">
        <v>3</v>
      </c>
      <c r="B540" s="13">
        <v>42847</v>
      </c>
      <c r="C540" s="2" t="str">
        <f t="shared" si="111"/>
        <v>Sat</v>
      </c>
      <c r="D540" t="s">
        <v>24</v>
      </c>
      <c r="E540" t="s">
        <v>18</v>
      </c>
      <c r="F540" t="str">
        <f t="shared" si="112"/>
        <v>D</v>
      </c>
      <c r="G540">
        <f t="shared" si="105"/>
        <v>0</v>
      </c>
      <c r="H540" t="s">
        <v>32</v>
      </c>
      <c r="I540">
        <f t="shared" si="106"/>
        <v>0</v>
      </c>
      <c r="J540">
        <f t="shared" si="120"/>
        <v>15728</v>
      </c>
      <c r="K540" s="15">
        <f t="shared" si="114"/>
        <v>508</v>
      </c>
      <c r="L540" s="15">
        <f t="shared" si="115"/>
        <v>345</v>
      </c>
      <c r="M540">
        <v>22</v>
      </c>
      <c r="N540">
        <v>4</v>
      </c>
      <c r="O540">
        <v>8</v>
      </c>
      <c r="P540">
        <v>12</v>
      </c>
      <c r="Q540" s="9">
        <v>203</v>
      </c>
      <c r="R540">
        <v>15</v>
      </c>
      <c r="T540" s="11">
        <f t="shared" si="121"/>
        <v>19</v>
      </c>
      <c r="U540" s="11">
        <f t="shared" si="122"/>
        <v>19</v>
      </c>
      <c r="V540" t="str">
        <f t="shared" si="123"/>
        <v>SN1 2ED</v>
      </c>
      <c r="W540" t="str">
        <f t="shared" si="124"/>
        <v>DN15 8TD</v>
      </c>
      <c r="X540" s="12">
        <v>7579</v>
      </c>
      <c r="Y540" s="15">
        <f t="shared" si="102"/>
        <v>25</v>
      </c>
    </row>
    <row r="541" spans="1:25" x14ac:dyDescent="0.2">
      <c r="A541" t="s">
        <v>3</v>
      </c>
      <c r="B541" s="13">
        <v>42850</v>
      </c>
      <c r="C541" s="2" t="str">
        <f t="shared" si="111"/>
        <v>Tue</v>
      </c>
      <c r="D541" t="s">
        <v>26</v>
      </c>
      <c r="E541" t="s">
        <v>7</v>
      </c>
      <c r="F541" t="str">
        <f t="shared" si="112"/>
        <v>E</v>
      </c>
      <c r="G541">
        <f t="shared" si="105"/>
        <v>1</v>
      </c>
      <c r="H541" t="s">
        <v>32</v>
      </c>
      <c r="I541">
        <f t="shared" si="106"/>
        <v>0</v>
      </c>
      <c r="J541">
        <f t="shared" si="120"/>
        <v>11300</v>
      </c>
      <c r="K541" s="15">
        <f t="shared" si="114"/>
        <v>697</v>
      </c>
      <c r="L541" s="15">
        <f t="shared" si="115"/>
        <v>253</v>
      </c>
      <c r="M541">
        <v>12</v>
      </c>
      <c r="N541">
        <v>21</v>
      </c>
      <c r="O541">
        <v>5</v>
      </c>
      <c r="P541">
        <v>0</v>
      </c>
      <c r="Q541" s="9">
        <v>40</v>
      </c>
      <c r="R541">
        <v>4</v>
      </c>
      <c r="T541" s="11">
        <f t="shared" si="121"/>
        <v>20</v>
      </c>
      <c r="U541" s="11">
        <f t="shared" si="122"/>
        <v>20</v>
      </c>
      <c r="V541" t="str">
        <f t="shared" si="123"/>
        <v>WS1 4SA</v>
      </c>
      <c r="W541" t="str">
        <f t="shared" si="124"/>
        <v>ST6 1AW</v>
      </c>
      <c r="X541" s="12">
        <v>4266</v>
      </c>
      <c r="Y541" s="15">
        <f t="shared" si="102"/>
        <v>25.5</v>
      </c>
    </row>
    <row r="542" spans="1:25" x14ac:dyDescent="0.2">
      <c r="A542" t="s">
        <v>3</v>
      </c>
      <c r="B542" s="13">
        <v>42855</v>
      </c>
      <c r="C542" s="2" t="str">
        <f t="shared" si="111"/>
        <v>Sun</v>
      </c>
      <c r="D542" t="s">
        <v>27</v>
      </c>
      <c r="E542" t="s">
        <v>11</v>
      </c>
      <c r="F542" t="str">
        <f t="shared" si="112"/>
        <v>D</v>
      </c>
      <c r="G542">
        <f t="shared" si="105"/>
        <v>0</v>
      </c>
      <c r="H542" t="s">
        <v>32</v>
      </c>
      <c r="I542">
        <f t="shared" si="106"/>
        <v>0</v>
      </c>
      <c r="J542">
        <f t="shared" si="120"/>
        <v>4850</v>
      </c>
      <c r="K542" s="15">
        <f t="shared" si="114"/>
        <v>729</v>
      </c>
      <c r="L542" s="15">
        <f t="shared" si="115"/>
        <v>260</v>
      </c>
      <c r="M542">
        <v>15</v>
      </c>
      <c r="N542">
        <v>17</v>
      </c>
      <c r="O542">
        <v>2</v>
      </c>
      <c r="P542">
        <v>7</v>
      </c>
      <c r="Q542" s="9">
        <v>224</v>
      </c>
      <c r="R542">
        <v>16</v>
      </c>
      <c r="T542" s="11">
        <f t="shared" si="121"/>
        <v>17</v>
      </c>
      <c r="U542" s="11">
        <f t="shared" si="122"/>
        <v>17</v>
      </c>
      <c r="V542" t="str">
        <f t="shared" si="123"/>
        <v>KT1 3PB</v>
      </c>
      <c r="W542" t="str">
        <f t="shared" si="124"/>
        <v>OL1 2PA</v>
      </c>
      <c r="X542" s="12">
        <v>4867</v>
      </c>
      <c r="Y542" s="15">
        <f t="shared" si="102"/>
        <v>29</v>
      </c>
    </row>
    <row r="543" spans="1:25" x14ac:dyDescent="0.2">
      <c r="A543" t="s">
        <v>3</v>
      </c>
      <c r="B543" s="13">
        <v>42855</v>
      </c>
      <c r="C543" s="2" t="str">
        <f t="shared" si="111"/>
        <v>Sun</v>
      </c>
      <c r="D543" t="s">
        <v>4</v>
      </c>
      <c r="E543" t="s">
        <v>17</v>
      </c>
      <c r="F543" t="str">
        <f t="shared" si="112"/>
        <v>D</v>
      </c>
      <c r="G543">
        <f t="shared" si="105"/>
        <v>0</v>
      </c>
      <c r="H543" t="s">
        <v>32</v>
      </c>
      <c r="I543">
        <f t="shared" si="106"/>
        <v>0</v>
      </c>
      <c r="J543">
        <f t="shared" si="120"/>
        <v>28723</v>
      </c>
      <c r="K543" s="15">
        <f t="shared" si="114"/>
        <v>598</v>
      </c>
      <c r="L543" s="15">
        <f t="shared" si="115"/>
        <v>280</v>
      </c>
      <c r="M543">
        <v>2</v>
      </c>
      <c r="N543">
        <v>11</v>
      </c>
      <c r="O543">
        <v>7</v>
      </c>
      <c r="P543">
        <v>7</v>
      </c>
      <c r="Q543" s="9">
        <v>158</v>
      </c>
      <c r="R543">
        <v>15</v>
      </c>
      <c r="T543" s="11">
        <f t="shared" si="121"/>
        <v>15</v>
      </c>
      <c r="U543" s="11">
        <f t="shared" si="122"/>
        <v>15</v>
      </c>
      <c r="V543" t="str">
        <f t="shared" si="123"/>
        <v>BL6 6JW</v>
      </c>
      <c r="W543" t="str">
        <f t="shared" si="124"/>
        <v>PE2 8AL</v>
      </c>
      <c r="X543" s="12">
        <v>22590</v>
      </c>
      <c r="Y543" s="15">
        <f t="shared" si="102"/>
        <v>30</v>
      </c>
    </row>
    <row r="544" spans="1:25" x14ac:dyDescent="0.2">
      <c r="A544" t="s">
        <v>3</v>
      </c>
      <c r="B544" s="13">
        <v>42855</v>
      </c>
      <c r="C544" s="2" t="str">
        <f t="shared" si="111"/>
        <v>Sun</v>
      </c>
      <c r="D544" t="s">
        <v>19</v>
      </c>
      <c r="E544" t="s">
        <v>10</v>
      </c>
      <c r="F544" t="str">
        <f t="shared" si="112"/>
        <v>D</v>
      </c>
      <c r="G544">
        <f t="shared" si="105"/>
        <v>0</v>
      </c>
      <c r="H544" t="s">
        <v>32</v>
      </c>
      <c r="I544">
        <f t="shared" si="106"/>
        <v>0</v>
      </c>
      <c r="J544">
        <f t="shared" si="120"/>
        <v>12000</v>
      </c>
      <c r="K544" s="15">
        <f t="shared" si="114"/>
        <v>827</v>
      </c>
      <c r="L544" s="15">
        <f t="shared" si="115"/>
        <v>260</v>
      </c>
      <c r="M544">
        <v>10</v>
      </c>
      <c r="N544">
        <v>6</v>
      </c>
      <c r="O544">
        <v>9</v>
      </c>
      <c r="P544">
        <v>7</v>
      </c>
      <c r="Q544" s="9">
        <v>124</v>
      </c>
      <c r="R544">
        <v>14</v>
      </c>
      <c r="T544" s="11">
        <f t="shared" si="121"/>
        <v>18</v>
      </c>
      <c r="U544" s="11">
        <f t="shared" si="122"/>
        <v>16</v>
      </c>
      <c r="V544" t="str">
        <f t="shared" si="123"/>
        <v>BS7 0BF</v>
      </c>
      <c r="W544" t="str">
        <f t="shared" si="124"/>
        <v>SE16 3LN</v>
      </c>
      <c r="X544" s="12">
        <v>11750</v>
      </c>
      <c r="Y544" s="15">
        <f t="shared" si="102"/>
        <v>26</v>
      </c>
    </row>
    <row r="545" spans="1:25" x14ac:dyDescent="0.2">
      <c r="A545" t="s">
        <v>3</v>
      </c>
      <c r="B545" s="13">
        <v>42855</v>
      </c>
      <c r="C545" s="2" t="str">
        <f t="shared" si="111"/>
        <v>Sun</v>
      </c>
      <c r="D545" t="s">
        <v>9</v>
      </c>
      <c r="E545" t="s">
        <v>24</v>
      </c>
      <c r="F545" t="str">
        <f t="shared" si="112"/>
        <v>D</v>
      </c>
      <c r="G545">
        <f t="shared" si="105"/>
        <v>0</v>
      </c>
      <c r="H545" t="s">
        <v>32</v>
      </c>
      <c r="I545">
        <f t="shared" si="106"/>
        <v>0</v>
      </c>
      <c r="J545">
        <f t="shared" si="120"/>
        <v>26875</v>
      </c>
      <c r="K545" s="15">
        <f t="shared" si="114"/>
        <v>503</v>
      </c>
      <c r="L545" s="15">
        <f t="shared" si="115"/>
        <v>175</v>
      </c>
      <c r="M545">
        <v>14</v>
      </c>
      <c r="N545">
        <v>22</v>
      </c>
      <c r="O545">
        <v>7</v>
      </c>
      <c r="P545">
        <v>5</v>
      </c>
      <c r="Q545" s="9">
        <v>49</v>
      </c>
      <c r="R545">
        <v>16</v>
      </c>
      <c r="T545" s="11">
        <f t="shared" si="121"/>
        <v>20</v>
      </c>
      <c r="U545" s="11">
        <f t="shared" si="122"/>
        <v>20</v>
      </c>
      <c r="V545" t="str">
        <f t="shared" si="123"/>
        <v>SE7 8BL</v>
      </c>
      <c r="W545" t="str">
        <f t="shared" si="124"/>
        <v>SN1 2ED</v>
      </c>
      <c r="X545" s="12">
        <v>11932</v>
      </c>
      <c r="Y545" s="15">
        <f t="shared" si="102"/>
        <v>35</v>
      </c>
    </row>
    <row r="546" spans="1:25" x14ac:dyDescent="0.2">
      <c r="A546" t="s">
        <v>3</v>
      </c>
      <c r="B546" s="13">
        <v>42855</v>
      </c>
      <c r="C546" s="2" t="str">
        <f t="shared" si="111"/>
        <v>Sun</v>
      </c>
      <c r="D546" t="s">
        <v>13</v>
      </c>
      <c r="E546" t="s">
        <v>7</v>
      </c>
      <c r="F546" t="str">
        <f t="shared" si="112"/>
        <v>D</v>
      </c>
      <c r="G546">
        <f t="shared" si="105"/>
        <v>0</v>
      </c>
      <c r="H546" t="s">
        <v>32</v>
      </c>
      <c r="I546">
        <f t="shared" si="106"/>
        <v>0</v>
      </c>
      <c r="J546">
        <f t="shared" si="120"/>
        <v>5327</v>
      </c>
      <c r="K546" s="15">
        <f t="shared" si="114"/>
        <v>697</v>
      </c>
      <c r="L546" s="15">
        <f t="shared" si="115"/>
        <v>210</v>
      </c>
      <c r="M546">
        <v>3</v>
      </c>
      <c r="N546">
        <v>21</v>
      </c>
      <c r="O546">
        <v>12</v>
      </c>
      <c r="P546">
        <v>3</v>
      </c>
      <c r="Q546" s="9">
        <v>87</v>
      </c>
      <c r="R546">
        <v>17</v>
      </c>
      <c r="T546" s="11">
        <f t="shared" si="121"/>
        <v>21.5</v>
      </c>
      <c r="U546" s="11">
        <f t="shared" si="122"/>
        <v>21.5</v>
      </c>
      <c r="V546" t="str">
        <f t="shared" si="123"/>
        <v>FY7 6TX</v>
      </c>
      <c r="W546" t="str">
        <f t="shared" si="124"/>
        <v>ST6 1AW</v>
      </c>
      <c r="X546" s="12">
        <v>4733</v>
      </c>
      <c r="Y546" s="15">
        <f t="shared" si="102"/>
        <v>23.5</v>
      </c>
    </row>
    <row r="547" spans="1:25" x14ac:dyDescent="0.2">
      <c r="A547" t="s">
        <v>3</v>
      </c>
      <c r="B547" s="13">
        <v>42855</v>
      </c>
      <c r="C547" s="2" t="str">
        <f t="shared" si="111"/>
        <v>Sun</v>
      </c>
      <c r="D547" t="s">
        <v>12</v>
      </c>
      <c r="E547" t="s">
        <v>23</v>
      </c>
      <c r="F547" t="str">
        <f t="shared" si="112"/>
        <v>D</v>
      </c>
      <c r="G547">
        <f t="shared" si="105"/>
        <v>0</v>
      </c>
      <c r="H547" t="s">
        <v>32</v>
      </c>
      <c r="I547">
        <f t="shared" si="106"/>
        <v>0</v>
      </c>
      <c r="J547">
        <f t="shared" si="120"/>
        <v>7653</v>
      </c>
      <c r="K547" s="15">
        <f t="shared" si="114"/>
        <v>533</v>
      </c>
      <c r="L547" s="15">
        <f t="shared" si="115"/>
        <v>249</v>
      </c>
      <c r="M547">
        <v>16</v>
      </c>
      <c r="N547">
        <v>20</v>
      </c>
      <c r="O547">
        <v>2</v>
      </c>
      <c r="P547">
        <v>4</v>
      </c>
      <c r="Q547" s="9">
        <v>107</v>
      </c>
      <c r="R547">
        <v>16</v>
      </c>
      <c r="T547" s="11">
        <f t="shared" si="121"/>
        <v>24</v>
      </c>
      <c r="U547" s="11">
        <f t="shared" si="122"/>
        <v>24</v>
      </c>
      <c r="V547" t="str">
        <f t="shared" si="123"/>
        <v>NN5 5QA</v>
      </c>
      <c r="W547" t="str">
        <f t="shared" si="124"/>
        <v>ME7 4DD</v>
      </c>
      <c r="X547" s="12">
        <v>7034</v>
      </c>
      <c r="Y547" s="15">
        <f t="shared" si="102"/>
        <v>24</v>
      </c>
    </row>
    <row r="548" spans="1:25" x14ac:dyDescent="0.2">
      <c r="A548" t="s">
        <v>3</v>
      </c>
      <c r="B548" s="13">
        <v>42855</v>
      </c>
      <c r="C548" s="2" t="str">
        <f t="shared" si="111"/>
        <v>Sun</v>
      </c>
      <c r="D548" t="s">
        <v>14</v>
      </c>
      <c r="E548" t="s">
        <v>20</v>
      </c>
      <c r="F548" t="str">
        <f t="shared" si="112"/>
        <v>D</v>
      </c>
      <c r="G548">
        <f t="shared" si="105"/>
        <v>0</v>
      </c>
      <c r="H548" t="s">
        <v>32</v>
      </c>
      <c r="I548">
        <f t="shared" si="106"/>
        <v>0</v>
      </c>
      <c r="J548">
        <f t="shared" si="120"/>
        <v>12500</v>
      </c>
      <c r="K548" s="15">
        <f t="shared" si="114"/>
        <v>438</v>
      </c>
      <c r="L548" s="15">
        <f t="shared" si="115"/>
        <v>290</v>
      </c>
      <c r="M548">
        <v>9</v>
      </c>
      <c r="N548">
        <v>18</v>
      </c>
      <c r="O548">
        <v>10</v>
      </c>
      <c r="P548">
        <v>8</v>
      </c>
      <c r="Q548" s="9">
        <v>107</v>
      </c>
      <c r="R548">
        <v>15</v>
      </c>
      <c r="T548" s="11">
        <f t="shared" si="121"/>
        <v>20</v>
      </c>
      <c r="U548" s="11">
        <f t="shared" si="122"/>
        <v>21</v>
      </c>
      <c r="V548" t="str">
        <f t="shared" si="123"/>
        <v>OX4 4XP</v>
      </c>
      <c r="W548" t="str">
        <f t="shared" si="124"/>
        <v>SY2 6ST</v>
      </c>
      <c r="X548" s="12">
        <v>9287</v>
      </c>
      <c r="Y548" s="15">
        <f t="shared" si="102"/>
        <v>24</v>
      </c>
    </row>
    <row r="549" spans="1:25" x14ac:dyDescent="0.2">
      <c r="A549" t="s">
        <v>3</v>
      </c>
      <c r="B549" s="13">
        <v>42855</v>
      </c>
      <c r="C549" s="2" t="str">
        <f t="shared" si="111"/>
        <v>Sun</v>
      </c>
      <c r="D549" t="s">
        <v>16</v>
      </c>
      <c r="E549" t="s">
        <v>6</v>
      </c>
      <c r="F549" t="str">
        <f t="shared" si="112"/>
        <v>D</v>
      </c>
      <c r="G549">
        <f t="shared" si="105"/>
        <v>0</v>
      </c>
      <c r="H549" t="s">
        <v>32</v>
      </c>
      <c r="I549">
        <f t="shared" si="106"/>
        <v>0</v>
      </c>
      <c r="J549">
        <f t="shared" si="120"/>
        <v>10249</v>
      </c>
      <c r="K549" s="15">
        <f t="shared" si="114"/>
        <v>1437</v>
      </c>
      <c r="L549" s="15">
        <f t="shared" si="115"/>
        <v>290</v>
      </c>
      <c r="M549">
        <v>8</v>
      </c>
      <c r="N549">
        <v>5</v>
      </c>
      <c r="O549">
        <v>10</v>
      </c>
      <c r="P549">
        <v>12</v>
      </c>
      <c r="Q549" s="9">
        <v>30</v>
      </c>
      <c r="R549">
        <v>16</v>
      </c>
      <c r="T549" s="11">
        <f t="shared" si="121"/>
        <v>17</v>
      </c>
      <c r="U549" s="11">
        <f t="shared" si="122"/>
        <v>22</v>
      </c>
      <c r="V549" t="str">
        <f t="shared" si="123"/>
        <v>OL11 5DR</v>
      </c>
      <c r="W549" t="str">
        <f t="shared" si="124"/>
        <v>BD8 7DY</v>
      </c>
      <c r="X549" s="12">
        <v>6876</v>
      </c>
      <c r="Y549" s="15">
        <f t="shared" si="102"/>
        <v>22</v>
      </c>
    </row>
    <row r="550" spans="1:25" x14ac:dyDescent="0.2">
      <c r="A550" t="s">
        <v>3</v>
      </c>
      <c r="B550" s="13">
        <v>42855</v>
      </c>
      <c r="C550" s="2" t="str">
        <f t="shared" si="111"/>
        <v>Sun</v>
      </c>
      <c r="D550" t="s">
        <v>18</v>
      </c>
      <c r="E550" t="s">
        <v>25</v>
      </c>
      <c r="F550" t="str">
        <f t="shared" si="112"/>
        <v>D</v>
      </c>
      <c r="G550">
        <f t="shared" si="105"/>
        <v>0</v>
      </c>
      <c r="H550" t="s">
        <v>32</v>
      </c>
      <c r="I550">
        <f t="shared" si="106"/>
        <v>0</v>
      </c>
      <c r="J550">
        <f t="shared" si="120"/>
        <v>9183</v>
      </c>
      <c r="K550" s="15">
        <f t="shared" si="114"/>
        <v>1280</v>
      </c>
      <c r="L550" s="15">
        <f t="shared" si="115"/>
        <v>288</v>
      </c>
      <c r="M550">
        <v>4</v>
      </c>
      <c r="N550">
        <v>23</v>
      </c>
      <c r="O550">
        <v>12</v>
      </c>
      <c r="P550">
        <v>7</v>
      </c>
      <c r="Q550" s="9">
        <v>118</v>
      </c>
      <c r="R550">
        <v>13</v>
      </c>
      <c r="T550" s="11">
        <f t="shared" si="121"/>
        <v>18</v>
      </c>
      <c r="U550" s="11">
        <f t="shared" si="122"/>
        <v>22</v>
      </c>
      <c r="V550" t="str">
        <f t="shared" si="123"/>
        <v>DN15 8TD</v>
      </c>
      <c r="W550" t="str">
        <f t="shared" si="124"/>
        <v>CV6 6GE</v>
      </c>
      <c r="X550" s="12">
        <v>5796</v>
      </c>
      <c r="Y550" s="15">
        <f t="shared" si="102"/>
        <v>23</v>
      </c>
    </row>
    <row r="551" spans="1:25" x14ac:dyDescent="0.2">
      <c r="A551" t="s">
        <v>3</v>
      </c>
      <c r="B551" s="13">
        <v>42855</v>
      </c>
      <c r="C551" s="2" t="str">
        <f t="shared" si="111"/>
        <v>Sun</v>
      </c>
      <c r="D551" t="s">
        <v>5</v>
      </c>
      <c r="E551" t="s">
        <v>15</v>
      </c>
      <c r="F551" t="str">
        <f t="shared" si="112"/>
        <v>D</v>
      </c>
      <c r="G551">
        <f t="shared" si="105"/>
        <v>0</v>
      </c>
      <c r="H551" t="s">
        <v>32</v>
      </c>
      <c r="I551">
        <f t="shared" si="106"/>
        <v>0</v>
      </c>
      <c r="J551">
        <f t="shared" si="120"/>
        <v>32702</v>
      </c>
      <c r="K551" s="15">
        <f t="shared" si="114"/>
        <v>583</v>
      </c>
      <c r="L551" s="15">
        <f t="shared" si="115"/>
        <v>288</v>
      </c>
      <c r="M551">
        <v>1</v>
      </c>
      <c r="N551">
        <v>24</v>
      </c>
      <c r="O551">
        <v>15</v>
      </c>
      <c r="P551">
        <v>4</v>
      </c>
      <c r="Q551" s="9">
        <v>13</v>
      </c>
      <c r="R551">
        <v>16</v>
      </c>
      <c r="T551" s="11">
        <f t="shared" si="121"/>
        <v>20</v>
      </c>
      <c r="U551" s="11">
        <f t="shared" si="122"/>
        <v>20</v>
      </c>
      <c r="V551" t="str">
        <f t="shared" si="123"/>
        <v>S2 4SU</v>
      </c>
      <c r="W551" t="str">
        <f t="shared" si="124"/>
        <v>S41 8NZ</v>
      </c>
      <c r="X551" s="12">
        <v>31003</v>
      </c>
      <c r="Y551" s="15">
        <f t="shared" si="102"/>
        <v>29</v>
      </c>
    </row>
    <row r="552" spans="1:25" x14ac:dyDescent="0.2">
      <c r="A552" t="s">
        <v>3</v>
      </c>
      <c r="B552" s="13">
        <v>42855</v>
      </c>
      <c r="C552" s="2" t="str">
        <f t="shared" si="111"/>
        <v>Sun</v>
      </c>
      <c r="D552" t="s">
        <v>22</v>
      </c>
      <c r="E552" t="s">
        <v>8</v>
      </c>
      <c r="F552" t="str">
        <f t="shared" si="112"/>
        <v>D</v>
      </c>
      <c r="G552">
        <f t="shared" si="105"/>
        <v>0</v>
      </c>
      <c r="H552" t="s">
        <v>32</v>
      </c>
      <c r="I552">
        <f t="shared" si="106"/>
        <v>0</v>
      </c>
      <c r="J552">
        <f t="shared" si="120"/>
        <v>12392</v>
      </c>
      <c r="K552" s="15">
        <f t="shared" si="114"/>
        <v>608</v>
      </c>
      <c r="L552" s="15">
        <f t="shared" si="115"/>
        <v>395</v>
      </c>
      <c r="M552">
        <v>7</v>
      </c>
      <c r="N552">
        <v>19</v>
      </c>
      <c r="O552">
        <v>3</v>
      </c>
      <c r="P552">
        <v>4</v>
      </c>
      <c r="Q552" s="9">
        <v>195</v>
      </c>
      <c r="R552">
        <v>16</v>
      </c>
      <c r="T552" s="11">
        <f t="shared" si="121"/>
        <v>25</v>
      </c>
      <c r="U552" s="11">
        <f t="shared" si="122"/>
        <v>22</v>
      </c>
      <c r="V552" t="str">
        <f t="shared" si="123"/>
        <v>SS2 6NQ</v>
      </c>
      <c r="W552" t="str">
        <f t="shared" si="124"/>
        <v>BL9 9HR</v>
      </c>
      <c r="X552" s="12">
        <v>9245</v>
      </c>
      <c r="Y552" s="15">
        <f t="shared" si="102"/>
        <v>25</v>
      </c>
    </row>
    <row r="553" spans="1:25" x14ac:dyDescent="0.2">
      <c r="A553" t="s">
        <v>3</v>
      </c>
      <c r="B553" s="13">
        <v>42855</v>
      </c>
      <c r="C553" s="2" t="str">
        <f t="shared" si="111"/>
        <v>Sun</v>
      </c>
      <c r="D553" t="s">
        <v>26</v>
      </c>
      <c r="E553" t="s">
        <v>21</v>
      </c>
      <c r="F553" t="str">
        <f>IF(C553="Sat","D",IF(C553="Sun","D","E"))</f>
        <v>D</v>
      </c>
      <c r="G553">
        <f t="shared" si="105"/>
        <v>0</v>
      </c>
      <c r="H553" t="s">
        <v>32</v>
      </c>
      <c r="I553">
        <f t="shared" si="106"/>
        <v>0</v>
      </c>
      <c r="J553">
        <f t="shared" si="120"/>
        <v>11300</v>
      </c>
      <c r="K553" s="15">
        <f t="shared" si="114"/>
        <v>596</v>
      </c>
      <c r="L553" s="15">
        <f t="shared" si="115"/>
        <v>253</v>
      </c>
      <c r="M553">
        <v>13</v>
      </c>
      <c r="N553">
        <v>12</v>
      </c>
      <c r="O553">
        <v>2</v>
      </c>
      <c r="P553">
        <v>7</v>
      </c>
      <c r="Q553" s="9">
        <v>76</v>
      </c>
      <c r="R553">
        <v>17</v>
      </c>
      <c r="T553" s="11">
        <f t="shared" si="121"/>
        <v>20</v>
      </c>
      <c r="U553" s="11">
        <f t="shared" si="122"/>
        <v>20</v>
      </c>
      <c r="V553" t="str">
        <f t="shared" si="123"/>
        <v>WS1 4SA</v>
      </c>
      <c r="W553" t="str">
        <f t="shared" si="124"/>
        <v>MK1 1ST</v>
      </c>
      <c r="X553" s="12">
        <v>5004</v>
      </c>
      <c r="Y553" s="15">
        <f t="shared" si="102"/>
        <v>25.5</v>
      </c>
    </row>
    <row r="554" spans="1:25" x14ac:dyDescent="0.2">
      <c r="K554" s="15" t="s">
        <v>80</v>
      </c>
      <c r="L554" s="15" t="s">
        <v>80</v>
      </c>
      <c r="Y554" s="15"/>
    </row>
  </sheetData>
  <autoFilter ref="A1:X554">
    <sortState ref="A3:AC529">
      <sortCondition ref="D1:D554"/>
    </sortState>
  </autoFilter>
  <dataConsolidate/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league1_2016_17.csv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2017-02-18T11:19:39Z</dcterms:created>
  <dcterms:modified xsi:type="dcterms:W3CDTF">2017-07-19T21:49:36Z</dcterms:modified>
</cp:coreProperties>
</file>